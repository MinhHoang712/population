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95CB9A93-C1FA-4900-856E-15AA365F1475}" xr6:coauthVersionLast="47" xr6:coauthVersionMax="47" xr10:uidLastSave="{DA6147CF-BA47-4883-90BB-BF7144F606EC}"/>
  <bookViews>
    <workbookView xWindow="74325" yWindow="15300" windowWidth="14100" windowHeight="16725" xr2:uid="{B0C34314-2F72-44C6-A1B0-C8BC2F41A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5" i="1"/>
</calcChain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<sst xmlns="http://schemas.openxmlformats.org/spreadsheetml/2006/main" count="47" uniqueCount="34">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</sst>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F0AD-DC46-4D5C-89DB-4C3EB33705A5}">
  <dimension ref="A1:M23"/>
  <sheetViews>
    <sheetView tabSelected="1" topLeftCell="B1" workbookViewId="0">
      <selection activeCell="I17" sqref="I17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49.8</v>
      </c>
      <c r="E2">
        <v>52.3</v>
      </c>
      <c r="F2">
        <v>58.2</v>
      </c>
      <c r="G2">
        <v>48.8</v>
      </c>
      <c r="H2">
        <v>50.6</v>
      </c>
      <c r="I2">
        <v>56.2</v>
      </c>
      <c r="J2">
        <v>51.6</v>
      </c>
      <c r="K2">
        <v>58.3</v>
      </c>
      <c r="L2">
        <v>56</v>
      </c>
      <c r="M2">
        <v>56.2</v>
      </c>
    </row>
    <row r="3" spans="1:13" x14ac:dyDescent="0.45">
      <c r="A3">
        <v>2</v>
      </c>
      <c r="B3" t="s">
        <v>5</v>
      </c>
      <c r="C3" t="s">
        <v>6</v>
      </c>
      <c r="D3">
        <v>0.55000000000000004</v>
      </c>
      <c r="E3">
        <v>0.56999999999999995</v>
      </c>
      <c r="F3">
        <v>0.56999999999999995</v>
      </c>
      <c r="G3">
        <v>0.57999999999999996</v>
      </c>
      <c r="H3">
        <v>0.57999999999999996</v>
      </c>
      <c r="I3">
        <v>0.76</v>
      </c>
      <c r="J3">
        <v>0.77</v>
      </c>
      <c r="K3">
        <v>0.62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153285</v>
      </c>
      <c r="E4">
        <v>161054</v>
      </c>
      <c r="F4">
        <v>163587</v>
      </c>
      <c r="G4">
        <v>164024</v>
      </c>
      <c r="H4">
        <v>171972</v>
      </c>
      <c r="I4">
        <v>170438</v>
      </c>
      <c r="J4">
        <v>185567</v>
      </c>
      <c r="K4">
        <v>186369</v>
      </c>
      <c r="L4">
        <v>190036</v>
      </c>
      <c r="M4">
        <v>194482</v>
      </c>
    </row>
    <row r="5" spans="1:13" x14ac:dyDescent="0.45">
      <c r="A5">
        <v>4</v>
      </c>
      <c r="B5" t="s">
        <v>9</v>
      </c>
      <c r="C5" t="s">
        <v>8</v>
      </c>
      <c r="D5">
        <v>141824</v>
      </c>
      <c r="E5">
        <v>143206</v>
      </c>
      <c r="F5">
        <v>150526</v>
      </c>
      <c r="G5">
        <v>151227</v>
      </c>
      <c r="H5">
        <v>156973</v>
      </c>
      <c r="I5">
        <v>162437</v>
      </c>
      <c r="J5">
        <v>171827</v>
      </c>
      <c r="K5">
        <v>168063</v>
      </c>
      <c r="L5">
        <v>175488</v>
      </c>
      <c r="M5">
        <v>180375</v>
      </c>
    </row>
    <row r="6" spans="1:13" x14ac:dyDescent="0.45">
      <c r="A6">
        <v>5</v>
      </c>
      <c r="B6" t="s">
        <v>10</v>
      </c>
      <c r="C6" t="s">
        <v>8</v>
      </c>
      <c r="D6">
        <v>146904</v>
      </c>
      <c r="E6">
        <v>159104</v>
      </c>
      <c r="F6">
        <v>182677</v>
      </c>
      <c r="G6">
        <v>153946</v>
      </c>
      <c r="H6">
        <v>166556</v>
      </c>
      <c r="I6">
        <v>187211</v>
      </c>
      <c r="J6">
        <v>184270</v>
      </c>
      <c r="K6">
        <v>206518</v>
      </c>
      <c r="L6">
        <v>203899</v>
      </c>
      <c r="M6">
        <v>209687</v>
      </c>
    </row>
    <row r="7" spans="1:13" x14ac:dyDescent="0.45">
      <c r="A7">
        <v>6</v>
      </c>
      <c r="B7" t="s">
        <v>11</v>
      </c>
      <c r="C7" t="s">
        <v>8</v>
      </c>
      <c r="D7">
        <v>60958</v>
      </c>
      <c r="E7">
        <v>65972</v>
      </c>
      <c r="F7">
        <v>77711</v>
      </c>
      <c r="G7">
        <v>64717</v>
      </c>
      <c r="H7">
        <v>72884</v>
      </c>
      <c r="I7">
        <v>79362</v>
      </c>
      <c r="J7">
        <v>76716</v>
      </c>
      <c r="K7">
        <v>90798</v>
      </c>
      <c r="L7">
        <v>88410</v>
      </c>
      <c r="M7">
        <v>91266</v>
      </c>
    </row>
    <row r="8" spans="1:13" x14ac:dyDescent="0.45">
      <c r="A8">
        <v>7</v>
      </c>
      <c r="B8" t="s">
        <v>12</v>
      </c>
      <c r="C8" t="s">
        <v>8</v>
      </c>
      <c r="D8">
        <v>85946</v>
      </c>
      <c r="E8">
        <v>93132</v>
      </c>
      <c r="F8">
        <v>104966</v>
      </c>
      <c r="G8">
        <v>89229</v>
      </c>
      <c r="H8">
        <v>93672</v>
      </c>
      <c r="I8">
        <v>107849</v>
      </c>
      <c r="J8">
        <v>107555</v>
      </c>
      <c r="K8">
        <v>115720</v>
      </c>
      <c r="L8">
        <v>115489</v>
      </c>
      <c r="M8">
        <v>118421</v>
      </c>
    </row>
    <row r="9" spans="1:13" x14ac:dyDescent="0.45">
      <c r="A9">
        <v>8</v>
      </c>
      <c r="B9" t="s">
        <v>13</v>
      </c>
      <c r="C9" t="s">
        <v>8</v>
      </c>
      <c r="D9">
        <v>608196</v>
      </c>
      <c r="E9">
        <v>615461</v>
      </c>
      <c r="F9">
        <v>623287</v>
      </c>
      <c r="G9">
        <v>631071</v>
      </c>
      <c r="H9">
        <v>638931</v>
      </c>
      <c r="I9">
        <v>646245</v>
      </c>
      <c r="J9">
        <v>652263</v>
      </c>
      <c r="K9">
        <v>659070</v>
      </c>
      <c r="L9">
        <v>667362</v>
      </c>
      <c r="M9">
        <v>674557</v>
      </c>
    </row>
    <row r="10" spans="1:13" x14ac:dyDescent="0.45">
      <c r="A10">
        <v>9</v>
      </c>
      <c r="B10" t="s">
        <v>14</v>
      </c>
      <c r="C10" t="s">
        <v>8</v>
      </c>
      <c r="D10">
        <v>634628</v>
      </c>
      <c r="E10">
        <v>640663</v>
      </c>
      <c r="F10">
        <v>650271</v>
      </c>
      <c r="G10">
        <v>659874</v>
      </c>
      <c r="H10">
        <v>668940</v>
      </c>
      <c r="I10">
        <v>676905</v>
      </c>
      <c r="J10">
        <v>683724</v>
      </c>
      <c r="K10">
        <v>691275</v>
      </c>
      <c r="L10">
        <v>700828</v>
      </c>
      <c r="M10">
        <v>709365</v>
      </c>
    </row>
    <row r="11" spans="1:13" x14ac:dyDescent="0.45">
      <c r="A11">
        <v>10</v>
      </c>
      <c r="B11" t="s">
        <v>15</v>
      </c>
      <c r="C11" t="s">
        <v>8</v>
      </c>
      <c r="D11">
        <v>392484</v>
      </c>
      <c r="E11">
        <v>399447</v>
      </c>
      <c r="F11">
        <v>405246</v>
      </c>
      <c r="G11">
        <v>413878</v>
      </c>
      <c r="H11">
        <v>419679</v>
      </c>
      <c r="I11">
        <v>425351</v>
      </c>
      <c r="J11">
        <v>525558</v>
      </c>
      <c r="K11">
        <v>548860</v>
      </c>
      <c r="L11">
        <v>537276</v>
      </c>
      <c r="M11">
        <v>567818</v>
      </c>
    </row>
    <row r="12" spans="1:13" x14ac:dyDescent="0.45">
      <c r="A12">
        <v>11</v>
      </c>
      <c r="B12" t="s">
        <v>16</v>
      </c>
      <c r="C12" t="s">
        <v>8</v>
      </c>
      <c r="D12">
        <v>850340</v>
      </c>
      <c r="E12">
        <v>856677</v>
      </c>
      <c r="F12">
        <v>868312</v>
      </c>
      <c r="G12">
        <v>877067</v>
      </c>
      <c r="H12">
        <v>888192</v>
      </c>
      <c r="I12">
        <v>897799</v>
      </c>
      <c r="J12">
        <v>810429</v>
      </c>
      <c r="K12">
        <v>801485</v>
      </c>
      <c r="L12">
        <v>830914</v>
      </c>
      <c r="M12">
        <v>816103</v>
      </c>
    </row>
    <row r="13" spans="1:13" x14ac:dyDescent="0.45">
      <c r="A13">
        <v>12</v>
      </c>
      <c r="B13" t="s">
        <v>17</v>
      </c>
      <c r="C13" t="s">
        <v>18</v>
      </c>
      <c r="D13">
        <v>11.9</v>
      </c>
      <c r="E13">
        <v>12.1</v>
      </c>
      <c r="F13">
        <v>12.3</v>
      </c>
      <c r="G13">
        <v>12.3</v>
      </c>
      <c r="H13">
        <v>12.8</v>
      </c>
      <c r="I13">
        <v>12.9</v>
      </c>
      <c r="J13">
        <v>12.9</v>
      </c>
      <c r="K13">
        <v>13</v>
      </c>
      <c r="L13">
        <v>13.3</v>
      </c>
      <c r="M13">
        <v>13.4</v>
      </c>
    </row>
    <row r="14" spans="1:13" x14ac:dyDescent="0.45">
      <c r="A14">
        <v>13</v>
      </c>
      <c r="B14" t="s">
        <v>19</v>
      </c>
      <c r="C14" t="s">
        <v>18</v>
      </c>
      <c r="D14">
        <v>112.8</v>
      </c>
      <c r="E14">
        <v>112.5</v>
      </c>
      <c r="F14">
        <v>112.2</v>
      </c>
      <c r="G14">
        <v>112.1</v>
      </c>
      <c r="H14">
        <v>109.9</v>
      </c>
      <c r="I14">
        <v>109.8</v>
      </c>
      <c r="J14">
        <v>110.4</v>
      </c>
      <c r="K14">
        <v>110.2</v>
      </c>
      <c r="L14">
        <v>109.2</v>
      </c>
      <c r="M14">
        <v>108.7</v>
      </c>
    </row>
    <row r="15" spans="1:13" x14ac:dyDescent="0.45">
      <c r="A15">
        <v>14</v>
      </c>
      <c r="B15" t="s">
        <v>20</v>
      </c>
      <c r="C15" t="s">
        <v>21</v>
      </c>
      <c r="D15">
        <v>67.33</v>
      </c>
      <c r="E15">
        <v>76.760000000000005</v>
      </c>
      <c r="F15">
        <v>84.75</v>
      </c>
      <c r="G15">
        <v>90.89</v>
      </c>
      <c r="H15">
        <v>94.33</v>
      </c>
      <c r="I15">
        <v>101</v>
      </c>
      <c r="J15">
        <f t="shared" ref="J15" si="0">ROUND(FORECAST($L$1,B15:I15,$D$1:$K$1),1)</f>
        <v>108.6</v>
      </c>
      <c r="K15">
        <v>115.1</v>
      </c>
      <c r="L15">
        <v>121.6</v>
      </c>
      <c r="M15">
        <v>127.3</v>
      </c>
    </row>
    <row r="16" spans="1:13" x14ac:dyDescent="0.45">
      <c r="A16">
        <v>16</v>
      </c>
      <c r="B16" t="s">
        <v>22</v>
      </c>
      <c r="C16" t="s">
        <v>23</v>
      </c>
      <c r="D16">
        <v>2779</v>
      </c>
      <c r="E16">
        <v>3301</v>
      </c>
      <c r="F16">
        <v>3496</v>
      </c>
      <c r="G16">
        <v>3593</v>
      </c>
      <c r="H16">
        <v>3814</v>
      </c>
      <c r="I16">
        <v>4343</v>
      </c>
      <c r="J16">
        <v>4582</v>
      </c>
      <c r="K16">
        <v>4817</v>
      </c>
      <c r="L16">
        <v>5096</v>
      </c>
      <c r="M16">
        <v>5345</v>
      </c>
    </row>
    <row r="17" spans="1:13" x14ac:dyDescent="0.45">
      <c r="A17">
        <v>20</v>
      </c>
      <c r="B17" t="s">
        <v>24</v>
      </c>
      <c r="C17" t="s">
        <v>4</v>
      </c>
      <c r="D17">
        <v>13.36</v>
      </c>
      <c r="E17">
        <v>12.81</v>
      </c>
      <c r="F17">
        <v>9.75</v>
      </c>
      <c r="G17">
        <v>7.19</v>
      </c>
      <c r="H17">
        <v>3.32</v>
      </c>
      <c r="I17">
        <v>6.23</v>
      </c>
      <c r="J17">
        <v>5.36</v>
      </c>
      <c r="K17">
        <v>5.36</v>
      </c>
      <c r="L17">
        <v>2.2000000000000002</v>
      </c>
      <c r="M17">
        <v>1.2</v>
      </c>
    </row>
    <row r="18" spans="1:13" x14ac:dyDescent="0.45">
      <c r="A18">
        <v>24</v>
      </c>
      <c r="B18" t="s">
        <v>25</v>
      </c>
      <c r="C18" t="s">
        <v>26</v>
      </c>
      <c r="D18">
        <v>343617</v>
      </c>
      <c r="E18">
        <v>356178</v>
      </c>
      <c r="F18">
        <v>360135</v>
      </c>
      <c r="G18">
        <v>359236</v>
      </c>
      <c r="H18">
        <v>342579</v>
      </c>
      <c r="I18">
        <v>358353</v>
      </c>
      <c r="J18">
        <f t="shared" ref="J18:K18" si="1">ROUND(FORECAST($L$1,B18:I18,$D$1:$K$1),0)</f>
        <v>356548</v>
      </c>
      <c r="K18">
        <v>357462</v>
      </c>
      <c r="L18">
        <v>358376</v>
      </c>
      <c r="M18">
        <v>356630</v>
      </c>
    </row>
    <row r="19" spans="1:13" x14ac:dyDescent="0.45">
      <c r="A19">
        <v>25</v>
      </c>
      <c r="B19" t="s">
        <v>27</v>
      </c>
      <c r="C19" t="s">
        <v>28</v>
      </c>
      <c r="D19">
        <v>73.400000000000006</v>
      </c>
      <c r="E19">
        <v>73.5</v>
      </c>
      <c r="F19">
        <v>73.5</v>
      </c>
      <c r="G19">
        <v>73.599999999999994</v>
      </c>
      <c r="H19">
        <v>73.7</v>
      </c>
      <c r="I19">
        <v>73.7</v>
      </c>
      <c r="J19">
        <v>73.7</v>
      </c>
      <c r="K19">
        <v>74.5</v>
      </c>
      <c r="L19">
        <v>74.2</v>
      </c>
      <c r="M19">
        <v>74.3</v>
      </c>
    </row>
    <row r="20" spans="1:13" x14ac:dyDescent="0.45">
      <c r="A20">
        <v>26</v>
      </c>
      <c r="B20" t="s">
        <v>29</v>
      </c>
      <c r="C20" t="s">
        <v>28</v>
      </c>
      <c r="D20">
        <v>70.8</v>
      </c>
      <c r="E20">
        <v>70.900000000000006</v>
      </c>
      <c r="F20">
        <v>70.900000000000006</v>
      </c>
      <c r="G20">
        <v>71</v>
      </c>
      <c r="H20">
        <v>71.099999999999994</v>
      </c>
      <c r="I20">
        <v>71.099999999999994</v>
      </c>
      <c r="J20">
        <v>71.099999999999994</v>
      </c>
      <c r="K20">
        <v>72.099999999999994</v>
      </c>
      <c r="L20">
        <v>71.7</v>
      </c>
      <c r="M20">
        <v>71.900000000000006</v>
      </c>
    </row>
    <row r="21" spans="1:13" x14ac:dyDescent="0.45">
      <c r="A21">
        <v>27</v>
      </c>
      <c r="B21" t="s">
        <v>30</v>
      </c>
      <c r="C21" t="s">
        <v>28</v>
      </c>
      <c r="D21">
        <v>76.2</v>
      </c>
      <c r="E21">
        <v>76.2</v>
      </c>
      <c r="F21">
        <v>76.3</v>
      </c>
      <c r="G21">
        <v>76.400000000000006</v>
      </c>
      <c r="H21">
        <v>76.400000000000006</v>
      </c>
      <c r="I21">
        <v>76.400000000000006</v>
      </c>
      <c r="J21">
        <v>76.400000000000006</v>
      </c>
      <c r="K21">
        <v>77.099999999999994</v>
      </c>
      <c r="L21">
        <v>76.8</v>
      </c>
      <c r="M21">
        <v>76.900000000000006</v>
      </c>
    </row>
    <row r="22" spans="1:13" x14ac:dyDescent="0.45">
      <c r="A22">
        <v>29</v>
      </c>
      <c r="B22" t="s">
        <v>31</v>
      </c>
      <c r="C22" t="s">
        <v>4</v>
      </c>
      <c r="D22">
        <v>7.8</v>
      </c>
      <c r="E22">
        <v>7.4</v>
      </c>
      <c r="F22">
        <v>6</v>
      </c>
      <c r="G22">
        <v>5.0999999999999996</v>
      </c>
      <c r="H22">
        <v>4.0999999999999996</v>
      </c>
      <c r="I22">
        <v>3.7</v>
      </c>
      <c r="J22">
        <v>2.2000000000000002</v>
      </c>
      <c r="K22">
        <v>1.7</v>
      </c>
      <c r="L22">
        <v>0.6</v>
      </c>
      <c r="M22">
        <v>0.1</v>
      </c>
    </row>
    <row r="23" spans="1:13" x14ac:dyDescent="0.45">
      <c r="A23">
        <v>35</v>
      </c>
      <c r="B23" t="s">
        <v>32</v>
      </c>
      <c r="C23" t="s">
        <v>33</v>
      </c>
      <c r="D23">
        <v>2.4500000000000002</v>
      </c>
      <c r="E23">
        <v>2.09</v>
      </c>
      <c r="F23">
        <v>2.0499999999999998</v>
      </c>
      <c r="G23">
        <v>2.14</v>
      </c>
      <c r="H23">
        <v>2.16</v>
      </c>
      <c r="I23">
        <v>2.12</v>
      </c>
      <c r="J23">
        <v>2.77</v>
      </c>
      <c r="K23">
        <v>2.14</v>
      </c>
      <c r="L23">
        <v>2.2999999999999998</v>
      </c>
      <c r="M2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2025-12-22T17:01:35Z</dcterms:created>
  <dcterms:modified xsi:type="dcterms:W3CDTF">2026-06-20T16:28:52Z</dcterms:modified>
</cp:coreProperties>
</file>