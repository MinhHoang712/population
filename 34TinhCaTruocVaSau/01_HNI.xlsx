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tieutinhlinh-my.sharepoint.com/personal/minhph11_tieutinhlinh_onmicrosoft_com/Documents/Desktop/Đồ án/"/>
    </mc:Choice>
  </mc:AlternateContent>
  <xr:revisionPtr revIDLastSave="64" documentId="8_{8F06E17C-1F3C-457C-B2F7-ED5A066CCC2B}" xr6:coauthVersionLast="47" xr6:coauthVersionMax="47" xr10:uidLastSave="{AF3FD6AB-F8F6-472C-9336-A6E488A64666}"/>
  <bookViews>
    <workbookView xWindow="57660" yWindow="15255" windowWidth="24330" windowHeight="17370" xr2:uid="{66CD43B1-0F75-44F5-B5E5-2292FB5B24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1" l="1"/>
  <c r="J18" i="1"/>
  <c r="J15" i="1"/>
  <c r="K15" i="1"/>
  <c r="K18" i="1" l="1"/>
</calcChain>
</file>

<file path=xl/sharedStrings.xml><?xml version="1.0" encoding="utf-8"?>
<sst xmlns="http://schemas.openxmlformats.org/spreadsheetml/2006/main" count="47" uniqueCount="34">
  <si>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</si>
  <si>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</si>
  <si>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</si>
  <si>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</si>
  <si>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</si>
  <si>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</si>
  <si>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</si>
  <si>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</si>
  <si>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</si>
  <si>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</si>
  <si>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</si>
  <si>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</si>
  <si>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</si>
  <si>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</si>
  <si>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</si>
  <si>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</si>
  <si>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</si>
  <si>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</si>
  <si>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</si>
  <si>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</si>
  <si>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</si>
  <si>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</si>
  <si>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DOANH NGHIỆP ĐANG HOẠT ĐỘNG CÓ KẾT QUẢ SẢN XUẤT KINH DOANH TẠI THỜI ĐIỂM 31/12 HÀNG NĂM</t>
  </si>
  <si>
    <t>Doanh nghiệp</t>
  </si>
  <si>
    <t>TỐC ĐỘ TĂNG TỔNG SẢN PHẨM TRÊN ĐỊA BÀN (GRDP)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</si>
  <si>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</si>
  <si>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</si>
  <si>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</si>
  <si>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</si>
  <si>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</si>
  <si>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</si>
  <si>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HỘ NGHÈO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</si>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</sst>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88A61-2AC1-4476-AB43-11AF0263E615}">
  <sheetPr codeName="Sheet1"/>
  <dimension ref="A1:R23"/>
  <sheetViews>
    <sheetView tabSelected="1" workbookViewId="0">
      <selection activeCell="L1" sqref="L1:R23"/>
    </sheetView>
  </sheetViews>
  <sheetFormatPr defaultRowHeight="14.25" x14ac:dyDescent="0.45"/>
  <cols>
    <col min="2" max="2" width="39.6640625" customWidth="1"/>
    <col min="3" max="3" width="12.33203125" customWidth="1"/>
  </cols>
  <sheetData>
    <row r="1" spans="1:18" x14ac:dyDescent="0.45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  <c r="N1">
        <v>2026</v>
      </c>
      <c r="O1">
        <v>2027</v>
      </c>
      <c r="P1">
        <v>2028</v>
      </c>
      <c r="Q1">
        <v>2029</v>
      </c>
      <c r="R1">
        <v>2030</v>
      </c>
    </row>
    <row r="2" spans="1:18" x14ac:dyDescent="0.45">
      <c r="A2">
        <v>1</v>
      </c>
      <c r="B2" t="s">
        <v>3</v>
      </c>
      <c r="C2" t="s">
        <v>4</v>
      </c>
      <c r="D2">
        <v>53.8</v>
      </c>
      <c r="E2">
        <v>61.3</v>
      </c>
      <c r="F2">
        <v>67.2</v>
      </c>
      <c r="G2">
        <v>50.1</v>
      </c>
      <c r="H2">
        <v>51.9</v>
      </c>
      <c r="I2">
        <v>56.6</v>
      </c>
      <c r="J2">
        <v>57.7</v>
      </c>
      <c r="K2">
        <v>62.6</v>
      </c>
      <c r="L2">
        <v>58.4</v>
      </c>
      <c r="M2">
        <v>57.4</v>
      </c>
      <c r="N2">
        <v>58.1</v>
      </c>
      <c r="O2">
        <v>61.6</v>
      </c>
      <c r="P2">
        <v>61.8</v>
      </c>
      <c r="Q2">
        <v>61.5</v>
      </c>
      <c r="R2">
        <v>61.7</v>
      </c>
    </row>
    <row r="3" spans="1:18" x14ac:dyDescent="0.45">
      <c r="A3">
        <v>2</v>
      </c>
      <c r="B3" t="s">
        <v>5</v>
      </c>
      <c r="C3" t="s">
        <v>6</v>
      </c>
      <c r="D3">
        <v>0.78</v>
      </c>
      <c r="E3">
        <v>0.79</v>
      </c>
      <c r="F3">
        <v>0.79</v>
      </c>
      <c r="G3">
        <v>0.8</v>
      </c>
      <c r="H3">
        <v>0.8</v>
      </c>
      <c r="I3">
        <v>0.81</v>
      </c>
      <c r="J3">
        <v>0.82</v>
      </c>
      <c r="K3">
        <v>0.82</v>
      </c>
      <c r="L3">
        <v>0.83</v>
      </c>
      <c r="M3">
        <v>0.83</v>
      </c>
      <c r="N3">
        <v>0.84</v>
      </c>
      <c r="O3">
        <v>0.84</v>
      </c>
      <c r="P3">
        <v>0.85</v>
      </c>
      <c r="Q3">
        <v>0.85</v>
      </c>
      <c r="R3">
        <v>0.86</v>
      </c>
    </row>
    <row r="4" spans="1:18" x14ac:dyDescent="0.45">
      <c r="A4">
        <v>3</v>
      </c>
      <c r="B4" t="s">
        <v>7</v>
      </c>
      <c r="C4" t="s">
        <v>8</v>
      </c>
      <c r="D4">
        <v>942001</v>
      </c>
      <c r="E4">
        <v>911094</v>
      </c>
      <c r="F4">
        <v>923028</v>
      </c>
      <c r="G4">
        <v>1076395</v>
      </c>
      <c r="H4">
        <v>1115379</v>
      </c>
      <c r="I4">
        <v>1097539</v>
      </c>
      <c r="J4">
        <v>1127334</v>
      </c>
      <c r="K4">
        <v>1072441</v>
      </c>
      <c r="L4">
        <v>1170122.6399999999</v>
      </c>
      <c r="M4">
        <v>1206055</v>
      </c>
      <c r="N4">
        <v>1224473</v>
      </c>
      <c r="O4">
        <v>1224759</v>
      </c>
      <c r="P4">
        <v>1247665</v>
      </c>
      <c r="Q4">
        <v>1280050</v>
      </c>
      <c r="R4">
        <v>1308083</v>
      </c>
    </row>
    <row r="5" spans="1:18" x14ac:dyDescent="0.45">
      <c r="A5">
        <v>4</v>
      </c>
      <c r="B5" t="s">
        <v>9</v>
      </c>
      <c r="C5" t="s">
        <v>8</v>
      </c>
      <c r="D5">
        <v>825076</v>
      </c>
      <c r="E5">
        <v>824226</v>
      </c>
      <c r="F5">
        <v>855464</v>
      </c>
      <c r="G5">
        <v>947390</v>
      </c>
      <c r="H5">
        <v>1016688</v>
      </c>
      <c r="I5">
        <v>972338</v>
      </c>
      <c r="J5">
        <v>967202</v>
      </c>
      <c r="K5">
        <v>978809</v>
      </c>
      <c r="L5">
        <v>1041841.86</v>
      </c>
      <c r="M5">
        <v>1065948</v>
      </c>
      <c r="N5">
        <v>1078578</v>
      </c>
      <c r="O5">
        <v>1082782</v>
      </c>
      <c r="P5">
        <v>1098012</v>
      </c>
      <c r="Q5">
        <v>1131101</v>
      </c>
      <c r="R5">
        <v>1156182</v>
      </c>
    </row>
    <row r="6" spans="1:18" x14ac:dyDescent="0.45">
      <c r="A6">
        <v>5</v>
      </c>
      <c r="B6" t="s">
        <v>10</v>
      </c>
      <c r="C6" t="s">
        <v>8</v>
      </c>
      <c r="D6">
        <v>951532</v>
      </c>
      <c r="E6">
        <v>1063202</v>
      </c>
      <c r="F6">
        <v>1194329</v>
      </c>
      <c r="G6">
        <v>1014230</v>
      </c>
      <c r="H6">
        <v>1107045</v>
      </c>
      <c r="I6">
        <v>1171652</v>
      </c>
      <c r="J6">
        <v>1209266</v>
      </c>
      <c r="K6">
        <v>1284042</v>
      </c>
      <c r="L6">
        <v>1289555.5</v>
      </c>
      <c r="M6">
        <v>1310384</v>
      </c>
      <c r="N6">
        <v>1345292</v>
      </c>
      <c r="O6">
        <v>1418002</v>
      </c>
      <c r="P6">
        <v>1446571</v>
      </c>
      <c r="Q6">
        <v>1479311</v>
      </c>
      <c r="R6">
        <v>1515118</v>
      </c>
    </row>
    <row r="7" spans="1:18" x14ac:dyDescent="0.45">
      <c r="A7">
        <v>6</v>
      </c>
      <c r="B7" t="s">
        <v>11</v>
      </c>
      <c r="C7" t="s">
        <v>8</v>
      </c>
      <c r="D7">
        <v>419873</v>
      </c>
      <c r="E7">
        <v>475526</v>
      </c>
      <c r="F7">
        <v>529940</v>
      </c>
      <c r="G7">
        <v>440834</v>
      </c>
      <c r="H7">
        <v>482886</v>
      </c>
      <c r="I7">
        <v>516564</v>
      </c>
      <c r="J7">
        <v>532608</v>
      </c>
      <c r="K7">
        <v>581261</v>
      </c>
      <c r="L7">
        <v>573349.89</v>
      </c>
      <c r="M7">
        <v>583605</v>
      </c>
      <c r="N7">
        <v>602420</v>
      </c>
      <c r="O7">
        <v>638497</v>
      </c>
      <c r="P7">
        <v>653022</v>
      </c>
      <c r="Q7">
        <v>668651</v>
      </c>
      <c r="R7">
        <v>685893</v>
      </c>
    </row>
    <row r="8" spans="1:18" x14ac:dyDescent="0.45">
      <c r="A8">
        <v>7</v>
      </c>
      <c r="B8" t="s">
        <v>12</v>
      </c>
      <c r="C8" t="s">
        <v>8</v>
      </c>
      <c r="D8">
        <v>531659</v>
      </c>
      <c r="E8">
        <v>587677</v>
      </c>
      <c r="F8">
        <v>664389</v>
      </c>
      <c r="G8">
        <v>573396</v>
      </c>
      <c r="H8">
        <v>624159</v>
      </c>
      <c r="I8">
        <v>655088</v>
      </c>
      <c r="J8">
        <v>676658</v>
      </c>
      <c r="K8">
        <v>702781</v>
      </c>
      <c r="L8">
        <v>716205.46</v>
      </c>
      <c r="M8">
        <v>726779</v>
      </c>
      <c r="N8">
        <v>742872</v>
      </c>
      <c r="O8">
        <v>779505</v>
      </c>
      <c r="P8">
        <v>793549</v>
      </c>
      <c r="Q8">
        <v>810660</v>
      </c>
      <c r="R8">
        <v>829225</v>
      </c>
    </row>
    <row r="9" spans="1:18" x14ac:dyDescent="0.45">
      <c r="A9">
        <v>8</v>
      </c>
      <c r="B9" t="s">
        <v>13</v>
      </c>
      <c r="C9" t="s">
        <v>8</v>
      </c>
      <c r="D9">
        <v>3753167</v>
      </c>
      <c r="E9">
        <v>3831479</v>
      </c>
      <c r="F9">
        <v>3920268</v>
      </c>
      <c r="G9">
        <v>4012738</v>
      </c>
      <c r="H9">
        <v>4083480</v>
      </c>
      <c r="I9">
        <v>4132006</v>
      </c>
      <c r="J9">
        <v>4167292</v>
      </c>
      <c r="K9">
        <v>4264172</v>
      </c>
      <c r="L9">
        <v>4339971.1100000003</v>
      </c>
      <c r="M9">
        <v>4404166</v>
      </c>
      <c r="N9">
        <v>4465555</v>
      </c>
      <c r="O9">
        <v>4527990</v>
      </c>
      <c r="P9">
        <v>4596243</v>
      </c>
      <c r="Q9">
        <v>4668683</v>
      </c>
      <c r="R9">
        <v>4739734</v>
      </c>
    </row>
    <row r="10" spans="1:18" x14ac:dyDescent="0.45">
      <c r="A10">
        <v>9</v>
      </c>
      <c r="B10" t="s">
        <v>14</v>
      </c>
      <c r="C10" t="s">
        <v>8</v>
      </c>
      <c r="D10">
        <v>3837599</v>
      </c>
      <c r="E10">
        <v>3910709</v>
      </c>
      <c r="F10">
        <v>3994217</v>
      </c>
      <c r="G10">
        <v>4081153</v>
      </c>
      <c r="H10">
        <v>4163059</v>
      </c>
      <c r="I10">
        <v>4198828</v>
      </c>
      <c r="J10">
        <v>4268360</v>
      </c>
      <c r="K10">
        <v>4322909</v>
      </c>
      <c r="L10">
        <v>4412166.6100000003</v>
      </c>
      <c r="M10">
        <v>4477017</v>
      </c>
      <c r="N10">
        <v>4538843</v>
      </c>
      <c r="O10">
        <v>4600730</v>
      </c>
      <c r="P10">
        <v>4666257</v>
      </c>
      <c r="Q10">
        <v>4738130</v>
      </c>
      <c r="R10">
        <v>4804800</v>
      </c>
    </row>
    <row r="11" spans="1:18" x14ac:dyDescent="0.45">
      <c r="A11">
        <v>10</v>
      </c>
      <c r="B11" t="s">
        <v>15</v>
      </c>
      <c r="C11" t="s">
        <v>8</v>
      </c>
      <c r="D11">
        <v>3733023</v>
      </c>
      <c r="E11">
        <v>3809953</v>
      </c>
      <c r="F11">
        <v>3904833</v>
      </c>
      <c r="G11">
        <v>4000320</v>
      </c>
      <c r="H11">
        <v>4061063</v>
      </c>
      <c r="I11">
        <v>4095366</v>
      </c>
      <c r="J11">
        <v>4138505</v>
      </c>
      <c r="K11">
        <v>4212992</v>
      </c>
      <c r="L11">
        <v>4296375.71</v>
      </c>
      <c r="M11">
        <v>4353923</v>
      </c>
      <c r="N11">
        <v>4407360</v>
      </c>
      <c r="O11">
        <v>4463118</v>
      </c>
      <c r="P11">
        <v>4527016</v>
      </c>
      <c r="Q11">
        <v>4594971</v>
      </c>
      <c r="R11">
        <v>4659231</v>
      </c>
    </row>
    <row r="12" spans="1:18" x14ac:dyDescent="0.45">
      <c r="A12">
        <v>11</v>
      </c>
      <c r="B12" t="s">
        <v>16</v>
      </c>
      <c r="C12" t="s">
        <v>8</v>
      </c>
      <c r="D12">
        <v>3857743</v>
      </c>
      <c r="E12">
        <v>3932235</v>
      </c>
      <c r="F12">
        <v>4009600</v>
      </c>
      <c r="G12">
        <v>4093571</v>
      </c>
      <c r="H12">
        <v>4185476</v>
      </c>
      <c r="I12">
        <v>4235468</v>
      </c>
      <c r="J12">
        <v>4297147</v>
      </c>
      <c r="K12">
        <v>4374089</v>
      </c>
      <c r="L12">
        <v>4455763.8600000003</v>
      </c>
      <c r="M12">
        <v>4527269</v>
      </c>
      <c r="N12">
        <v>4597057</v>
      </c>
      <c r="O12">
        <v>4665616</v>
      </c>
      <c r="P12">
        <v>4735502</v>
      </c>
      <c r="Q12">
        <v>4811864</v>
      </c>
      <c r="R12">
        <v>4885329</v>
      </c>
    </row>
    <row r="13" spans="1:18" x14ac:dyDescent="0.45">
      <c r="A13">
        <v>12</v>
      </c>
      <c r="B13" t="s">
        <v>17</v>
      </c>
      <c r="C13" t="s">
        <v>18</v>
      </c>
      <c r="D13">
        <v>40.1</v>
      </c>
      <c r="E13">
        <v>40.200000000000003</v>
      </c>
      <c r="F13">
        <v>40.700000000000003</v>
      </c>
      <c r="G13">
        <v>40.9</v>
      </c>
      <c r="H13">
        <v>39.799999999999997</v>
      </c>
      <c r="I13">
        <v>39.799999999999997</v>
      </c>
      <c r="J13">
        <v>39.9</v>
      </c>
      <c r="K13">
        <v>42</v>
      </c>
      <c r="L13">
        <v>40.85</v>
      </c>
      <c r="M13">
        <v>40.950000000000003</v>
      </c>
      <c r="N13">
        <v>41.05</v>
      </c>
      <c r="O13">
        <v>41.3</v>
      </c>
      <c r="P13">
        <v>41.71</v>
      </c>
      <c r="Q13">
        <v>41.89</v>
      </c>
      <c r="R13">
        <v>41.95</v>
      </c>
    </row>
    <row r="14" spans="1:18" x14ac:dyDescent="0.45">
      <c r="A14">
        <v>13</v>
      </c>
      <c r="B14" t="s">
        <v>19</v>
      </c>
      <c r="C14" t="s">
        <v>18</v>
      </c>
      <c r="D14">
        <v>157.1</v>
      </c>
      <c r="E14">
        <v>155.6</v>
      </c>
      <c r="F14">
        <v>154.69999999999999</v>
      </c>
      <c r="G14">
        <v>154.30000000000001</v>
      </c>
      <c r="H14">
        <v>156</v>
      </c>
      <c r="I14">
        <v>155.69999999999999</v>
      </c>
      <c r="J14">
        <v>155.4</v>
      </c>
      <c r="K14">
        <v>154.69999999999999</v>
      </c>
      <c r="L14">
        <v>154.74</v>
      </c>
      <c r="M14">
        <v>154.97999999999999</v>
      </c>
      <c r="N14">
        <v>155.06</v>
      </c>
      <c r="O14">
        <v>154.93</v>
      </c>
      <c r="P14">
        <v>154.55000000000001</v>
      </c>
      <c r="Q14">
        <v>154.52000000000001</v>
      </c>
      <c r="R14">
        <v>154.52000000000001</v>
      </c>
    </row>
    <row r="15" spans="1:18" x14ac:dyDescent="0.45">
      <c r="A15">
        <v>14</v>
      </c>
      <c r="B15" t="s">
        <v>20</v>
      </c>
      <c r="C15" t="s">
        <v>21</v>
      </c>
      <c r="D15">
        <v>96.29</v>
      </c>
      <c r="E15">
        <v>104.14</v>
      </c>
      <c r="F15">
        <v>111.6</v>
      </c>
      <c r="G15">
        <v>120.32</v>
      </c>
      <c r="H15">
        <v>123.37</v>
      </c>
      <c r="I15">
        <v>128.75</v>
      </c>
      <c r="J15">
        <f t="shared" ref="J15" si="0">ROUND(FORECAST($L$1,B15:I15,$D$1:$K$1),2)</f>
        <v>136.94999999999999</v>
      </c>
      <c r="K15">
        <f t="shared" ref="K15" si="1">ROUND(FORECAST($L$1,C15:J15,$D$1:$K$1),2)</f>
        <v>143.47999999999999</v>
      </c>
      <c r="L15">
        <v>150.02000000000001</v>
      </c>
      <c r="M15">
        <v>156.03</v>
      </c>
      <c r="N15">
        <v>162.1</v>
      </c>
      <c r="O15">
        <v>168.31</v>
      </c>
      <c r="P15">
        <v>175.33</v>
      </c>
      <c r="Q15">
        <v>181.8</v>
      </c>
      <c r="R15">
        <v>187.87</v>
      </c>
    </row>
    <row r="16" spans="1:18" x14ac:dyDescent="0.45">
      <c r="A16">
        <v>16</v>
      </c>
      <c r="B16" t="s">
        <v>22</v>
      </c>
      <c r="C16" t="s">
        <v>23</v>
      </c>
      <c r="D16">
        <v>110169</v>
      </c>
      <c r="E16">
        <v>121570</v>
      </c>
      <c r="F16">
        <v>129556</v>
      </c>
      <c r="G16">
        <v>141484</v>
      </c>
      <c r="H16">
        <v>144808</v>
      </c>
      <c r="I16">
        <v>147454</v>
      </c>
      <c r="J16">
        <v>150522</v>
      </c>
      <c r="K16">
        <f>ROUND(FORECAST($L$1,C16:J16,$D$1:$K$1),0)</f>
        <v>161949</v>
      </c>
      <c r="L16">
        <v>168666</v>
      </c>
      <c r="M16">
        <v>173683</v>
      </c>
      <c r="N16">
        <v>179013</v>
      </c>
      <c r="O16">
        <v>184276</v>
      </c>
      <c r="P16">
        <v>191132</v>
      </c>
      <c r="Q16">
        <v>198019</v>
      </c>
      <c r="R16">
        <v>204330</v>
      </c>
    </row>
    <row r="17" spans="1:18" x14ac:dyDescent="0.45">
      <c r="A17">
        <v>20</v>
      </c>
      <c r="B17" t="s">
        <v>24</v>
      </c>
      <c r="C17" t="s">
        <v>4</v>
      </c>
      <c r="D17">
        <v>7.16</v>
      </c>
      <c r="E17">
        <v>7.39</v>
      </c>
      <c r="F17">
        <v>7.32</v>
      </c>
      <c r="G17">
        <v>7.75</v>
      </c>
      <c r="H17">
        <v>4.1100000000000003</v>
      </c>
      <c r="I17">
        <v>2.94</v>
      </c>
      <c r="J17">
        <v>8.9600000000000009</v>
      </c>
      <c r="K17">
        <v>6.52</v>
      </c>
      <c r="L17">
        <v>5.8</v>
      </c>
      <c r="M17">
        <v>5.67</v>
      </c>
      <c r="N17">
        <v>5.7</v>
      </c>
      <c r="O17">
        <v>5.91</v>
      </c>
      <c r="P17">
        <v>6.55</v>
      </c>
      <c r="Q17">
        <v>6.4</v>
      </c>
      <c r="R17">
        <v>5.51</v>
      </c>
    </row>
    <row r="18" spans="1:18" x14ac:dyDescent="0.45">
      <c r="A18">
        <v>24</v>
      </c>
      <c r="B18" t="s">
        <v>25</v>
      </c>
      <c r="C18" t="s">
        <v>26</v>
      </c>
      <c r="D18">
        <v>1928368</v>
      </c>
      <c r="E18">
        <v>1989545</v>
      </c>
      <c r="F18">
        <v>1986018</v>
      </c>
      <c r="G18">
        <v>2224107</v>
      </c>
      <c r="H18">
        <v>2166008</v>
      </c>
      <c r="I18">
        <v>2210791</v>
      </c>
      <c r="J18">
        <f t="shared" ref="J18" si="2">ROUND(FORECAST($L$1,B18:I18,$D$1:$K$1),2)</f>
        <v>2302098.7999999998</v>
      </c>
      <c r="K18">
        <f t="shared" ref="K18" si="3">ROUND(FORECAST($L$1,C18:J18,$D$1:$K$1),2)</f>
        <v>2364372.89</v>
      </c>
      <c r="L18">
        <v>2426647</v>
      </c>
      <c r="M18">
        <v>2488890</v>
      </c>
      <c r="N18">
        <v>2550717</v>
      </c>
      <c r="O18">
        <v>2588696</v>
      </c>
      <c r="P18">
        <v>2670193</v>
      </c>
      <c r="Q18">
        <v>2732626</v>
      </c>
      <c r="R18">
        <v>2788250</v>
      </c>
    </row>
    <row r="19" spans="1:18" x14ac:dyDescent="0.45">
      <c r="A19">
        <v>25</v>
      </c>
      <c r="B19" t="s">
        <v>27</v>
      </c>
      <c r="C19" t="s">
        <v>28</v>
      </c>
      <c r="D19">
        <v>75.3</v>
      </c>
      <c r="E19">
        <v>75.400000000000006</v>
      </c>
      <c r="F19">
        <v>75.400000000000006</v>
      </c>
      <c r="G19">
        <v>75.5</v>
      </c>
      <c r="H19">
        <v>75.5</v>
      </c>
      <c r="I19">
        <v>75.7</v>
      </c>
      <c r="J19">
        <v>76</v>
      </c>
      <c r="K19">
        <v>76.099999999999994</v>
      </c>
      <c r="L19">
        <v>76.12</v>
      </c>
      <c r="M19">
        <v>76.260000000000005</v>
      </c>
      <c r="N19">
        <v>76.42</v>
      </c>
      <c r="O19">
        <v>76.569999999999993</v>
      </c>
      <c r="P19">
        <v>76.72</v>
      </c>
      <c r="Q19">
        <v>76.83</v>
      </c>
      <c r="R19">
        <v>76.94</v>
      </c>
    </row>
    <row r="20" spans="1:18" x14ac:dyDescent="0.45">
      <c r="A20">
        <v>26</v>
      </c>
      <c r="B20" t="s">
        <v>29</v>
      </c>
      <c r="C20" t="s">
        <v>28</v>
      </c>
      <c r="D20">
        <v>72.900000000000006</v>
      </c>
      <c r="E20">
        <v>73</v>
      </c>
      <c r="F20">
        <v>73</v>
      </c>
      <c r="G20">
        <v>73.099999999999994</v>
      </c>
      <c r="H20">
        <v>73.099999999999994</v>
      </c>
      <c r="I20">
        <v>73.3</v>
      </c>
      <c r="J20">
        <v>73.400000000000006</v>
      </c>
      <c r="K20">
        <v>73.5</v>
      </c>
      <c r="L20">
        <v>73.540000000000006</v>
      </c>
      <c r="M20">
        <v>73.64</v>
      </c>
      <c r="N20">
        <v>73.75</v>
      </c>
      <c r="O20">
        <v>73.849999999999994</v>
      </c>
      <c r="P20">
        <v>73.95</v>
      </c>
      <c r="Q20">
        <v>74.03</v>
      </c>
      <c r="R20">
        <v>74.12</v>
      </c>
    </row>
    <row r="21" spans="1:18" x14ac:dyDescent="0.45">
      <c r="A21">
        <v>27</v>
      </c>
      <c r="B21" t="s">
        <v>30</v>
      </c>
      <c r="C21" t="s">
        <v>28</v>
      </c>
      <c r="D21">
        <v>77.8</v>
      </c>
      <c r="E21">
        <v>77.900000000000006</v>
      </c>
      <c r="F21">
        <v>77.900000000000006</v>
      </c>
      <c r="G21">
        <v>78</v>
      </c>
      <c r="H21">
        <v>78</v>
      </c>
      <c r="I21">
        <v>78.2</v>
      </c>
      <c r="J21">
        <v>78.8</v>
      </c>
      <c r="K21">
        <v>78.900000000000006</v>
      </c>
      <c r="L21">
        <v>78.89</v>
      </c>
      <c r="M21">
        <v>79.099999999999994</v>
      </c>
      <c r="N21">
        <v>79.34</v>
      </c>
      <c r="O21">
        <v>79.569999999999993</v>
      </c>
      <c r="P21">
        <v>79.790000000000006</v>
      </c>
      <c r="Q21">
        <v>79.959999999999994</v>
      </c>
      <c r="R21">
        <v>80.09</v>
      </c>
    </row>
    <row r="22" spans="1:18" x14ac:dyDescent="0.45">
      <c r="A22">
        <v>29</v>
      </c>
      <c r="B22" t="s">
        <v>31</v>
      </c>
      <c r="C22" t="s">
        <v>4</v>
      </c>
      <c r="D22">
        <v>1.4</v>
      </c>
      <c r="E22">
        <v>1.3</v>
      </c>
      <c r="F22">
        <v>0.9</v>
      </c>
      <c r="G22">
        <v>0.7</v>
      </c>
      <c r="H22">
        <v>0.5</v>
      </c>
      <c r="I22">
        <v>0.4</v>
      </c>
      <c r="J22">
        <v>0.1</v>
      </c>
      <c r="K22">
        <v>0.2</v>
      </c>
      <c r="L22">
        <v>0.1</v>
      </c>
      <c r="M22">
        <v>0.2</v>
      </c>
      <c r="N22">
        <v>0.2</v>
      </c>
      <c r="O22">
        <v>0.2</v>
      </c>
      <c r="P22">
        <v>0.08</v>
      </c>
      <c r="Q22">
        <v>0.1</v>
      </c>
      <c r="R22">
        <v>0.13</v>
      </c>
    </row>
    <row r="23" spans="1:18" x14ac:dyDescent="0.45">
      <c r="A23">
        <v>35</v>
      </c>
      <c r="B23" t="s">
        <v>32</v>
      </c>
      <c r="C23" t="s">
        <v>33</v>
      </c>
      <c r="D23">
        <v>2.06</v>
      </c>
      <c r="E23">
        <v>2</v>
      </c>
      <c r="F23">
        <v>2.0699999999999998</v>
      </c>
      <c r="G23">
        <v>2.2400000000000002</v>
      </c>
      <c r="H23">
        <v>2.25</v>
      </c>
      <c r="I23">
        <v>2.1800000000000002</v>
      </c>
      <c r="J23">
        <v>2.13</v>
      </c>
      <c r="K23">
        <v>1.88</v>
      </c>
      <c r="L23">
        <v>2.09</v>
      </c>
      <c r="M23">
        <v>2.0699999999999998</v>
      </c>
      <c r="N23">
        <v>2.0099999999999998</v>
      </c>
      <c r="O23">
        <v>1.94</v>
      </c>
      <c r="P23">
        <v>1.91</v>
      </c>
      <c r="Q23">
        <v>1.89</v>
      </c>
      <c r="R23">
        <v>1.88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Hai Minh</dc:creator>
  <cp:lastModifiedBy>Pham Hai Minh</cp:lastModifiedBy>
  <dcterms:created xsi:type="dcterms:W3CDTF">2025-12-21T13:22:49Z</dcterms:created>
  <dcterms:modified xsi:type="dcterms:W3CDTF">2026-06-20T18:54:07Z</dcterms:modified>
</cp:coreProperties>
</file>