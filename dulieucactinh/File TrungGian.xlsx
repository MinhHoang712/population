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BED3EA77-6010-4A6A-95B7-D2DFF72F800F}" xr6:coauthVersionLast="47" xr6:coauthVersionMax="47" xr10:uidLastSave="{00000000-0000-0000-0000-000000000000}"/>
  <bookViews>
    <workbookView xWindow="-108" yWindow="-108" windowWidth="23256" windowHeight="12456" xr2:uid="{ED874670-CB67-4236-8646-5161E720078D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D5" i="1"/>
  <c r="D36" i="1"/>
  <c r="D35" i="1"/>
  <c r="D34" i="1"/>
  <c r="D33" i="1"/>
  <c r="H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4" i="1"/>
  <c r="Q5" i="1"/>
  <c r="R5" i="1" s="1"/>
  <c r="S5" i="1" s="1"/>
  <c r="T5" i="1" s="1"/>
  <c r="U5" i="1" s="1"/>
  <c r="V5" i="1" s="1"/>
  <c r="W5" i="1" s="1"/>
  <c r="K5" i="1" s="1"/>
  <c r="Q4" i="1"/>
  <c r="R4" i="1" s="1"/>
  <c r="S4" i="1" s="1"/>
  <c r="T4" i="1" s="1"/>
  <c r="U4" i="1" s="1"/>
  <c r="V4" i="1" s="1"/>
  <c r="W4" i="1" s="1"/>
  <c r="K4" i="1" s="1"/>
  <c r="D2" i="1"/>
  <c r="D3" i="1"/>
  <c r="Q3" i="1"/>
  <c r="E2" i="1" s="1"/>
  <c r="E36" i="1" l="1"/>
  <c r="E35" i="1"/>
  <c r="E34" i="1"/>
  <c r="E33" i="1"/>
  <c r="I32" i="1"/>
  <c r="E31" i="1"/>
  <c r="E30" i="1"/>
  <c r="E29" i="1"/>
  <c r="J27" i="1"/>
  <c r="I27" i="1"/>
  <c r="K28" i="1"/>
  <c r="K27" i="1"/>
  <c r="H27" i="1"/>
  <c r="J28" i="1"/>
  <c r="G27" i="1"/>
  <c r="I28" i="1"/>
  <c r="F27" i="1"/>
  <c r="H28" i="1"/>
  <c r="G28" i="1"/>
  <c r="F28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K12" i="1"/>
  <c r="F11" i="1"/>
  <c r="E11" i="1"/>
  <c r="J12" i="1"/>
  <c r="I12" i="1"/>
  <c r="H12" i="1"/>
  <c r="G12" i="1"/>
  <c r="F12" i="1"/>
  <c r="E12" i="1"/>
  <c r="K11" i="1"/>
  <c r="J11" i="1"/>
  <c r="H11" i="1"/>
  <c r="I11" i="1"/>
  <c r="G11" i="1"/>
  <c r="K10" i="1"/>
  <c r="I10" i="1"/>
  <c r="H10" i="1"/>
  <c r="J10" i="1"/>
  <c r="G10" i="1"/>
  <c r="F10" i="1"/>
  <c r="E10" i="1"/>
  <c r="I9" i="1"/>
  <c r="H9" i="1"/>
  <c r="J9" i="1"/>
  <c r="G9" i="1"/>
  <c r="K9" i="1"/>
  <c r="F9" i="1"/>
  <c r="E9" i="1"/>
  <c r="K8" i="1"/>
  <c r="J8" i="1"/>
  <c r="H8" i="1"/>
  <c r="I8" i="1"/>
  <c r="G8" i="1"/>
  <c r="F8" i="1"/>
  <c r="E8" i="1"/>
  <c r="J7" i="1"/>
  <c r="H7" i="1"/>
  <c r="K7" i="1"/>
  <c r="I7" i="1"/>
  <c r="G7" i="1"/>
  <c r="F7" i="1"/>
  <c r="E7" i="1"/>
  <c r="E6" i="1"/>
  <c r="J5" i="1"/>
  <c r="I5" i="1"/>
  <c r="H5" i="1"/>
  <c r="G5" i="1"/>
  <c r="F5" i="1"/>
  <c r="E5" i="1"/>
  <c r="J4" i="1"/>
  <c r="I4" i="1"/>
  <c r="H4" i="1"/>
  <c r="G4" i="1"/>
  <c r="F4" i="1"/>
  <c r="E4" i="1"/>
  <c r="E3" i="1"/>
  <c r="R3" i="1"/>
  <c r="F36" i="1" s="1"/>
  <c r="F34" i="1" l="1"/>
  <c r="F35" i="1"/>
  <c r="J32" i="1"/>
  <c r="F33" i="1"/>
  <c r="F30" i="1"/>
  <c r="F31" i="1"/>
  <c r="F14" i="1"/>
  <c r="F29" i="1"/>
  <c r="F25" i="1"/>
  <c r="F26" i="1"/>
  <c r="F23" i="1"/>
  <c r="F24" i="1"/>
  <c r="F21" i="1"/>
  <c r="F22" i="1"/>
  <c r="F19" i="1"/>
  <c r="F20" i="1"/>
  <c r="F17" i="1"/>
  <c r="F18" i="1"/>
  <c r="F15" i="1"/>
  <c r="F16" i="1"/>
  <c r="F13" i="1"/>
  <c r="F6" i="1"/>
  <c r="S3" i="1"/>
  <c r="F3" i="1"/>
  <c r="F2" i="1"/>
  <c r="G35" i="1" l="1"/>
  <c r="G36" i="1"/>
  <c r="G33" i="1"/>
  <c r="G34" i="1"/>
  <c r="G31" i="1"/>
  <c r="K32" i="1"/>
  <c r="G29" i="1"/>
  <c r="G30" i="1"/>
  <c r="G25" i="1"/>
  <c r="G26" i="1"/>
  <c r="G23" i="1"/>
  <c r="G24" i="1"/>
  <c r="G21" i="1"/>
  <c r="G22" i="1"/>
  <c r="G19" i="1"/>
  <c r="G20" i="1"/>
  <c r="G17" i="1"/>
  <c r="G18" i="1"/>
  <c r="G15" i="1"/>
  <c r="G16" i="1"/>
  <c r="G13" i="1"/>
  <c r="G14" i="1"/>
  <c r="G6" i="1"/>
  <c r="T3" i="1"/>
  <c r="H36" i="1" s="1"/>
  <c r="G2" i="1"/>
  <c r="G3" i="1"/>
  <c r="H34" i="1" l="1"/>
  <c r="H35" i="1"/>
  <c r="H31" i="1"/>
  <c r="H33" i="1"/>
  <c r="H29" i="1"/>
  <c r="H30" i="1"/>
  <c r="H25" i="1"/>
  <c r="H26" i="1"/>
  <c r="H23" i="1"/>
  <c r="H24" i="1"/>
  <c r="H21" i="1"/>
  <c r="H22" i="1"/>
  <c r="H19" i="1"/>
  <c r="H20" i="1"/>
  <c r="H17" i="1"/>
  <c r="H18" i="1"/>
  <c r="H15" i="1"/>
  <c r="H16" i="1"/>
  <c r="H13" i="1"/>
  <c r="H14" i="1"/>
  <c r="H6" i="1"/>
  <c r="U3" i="1"/>
  <c r="I36" i="1" s="1"/>
  <c r="H2" i="1"/>
  <c r="H3" i="1"/>
  <c r="I34" i="1" l="1"/>
  <c r="I35" i="1"/>
  <c r="I31" i="1"/>
  <c r="I33" i="1"/>
  <c r="I29" i="1"/>
  <c r="I30" i="1"/>
  <c r="I25" i="1"/>
  <c r="I26" i="1"/>
  <c r="I23" i="1"/>
  <c r="I21" i="1"/>
  <c r="I22" i="1"/>
  <c r="I19" i="1"/>
  <c r="I20" i="1"/>
  <c r="I17" i="1"/>
  <c r="I18" i="1"/>
  <c r="I15" i="1"/>
  <c r="I16" i="1"/>
  <c r="I13" i="1"/>
  <c r="I14" i="1"/>
  <c r="I6" i="1"/>
  <c r="V3" i="1"/>
  <c r="J36" i="1" s="1"/>
  <c r="I2" i="1"/>
  <c r="I3" i="1"/>
  <c r="J34" i="1" l="1"/>
  <c r="J35" i="1"/>
  <c r="J30" i="1"/>
  <c r="J31" i="1"/>
  <c r="J26" i="1"/>
  <c r="J23" i="1"/>
  <c r="J22" i="1"/>
  <c r="J20" i="1"/>
  <c r="J21" i="1"/>
  <c r="J18" i="1"/>
  <c r="J19" i="1"/>
  <c r="J16" i="1"/>
  <c r="J17" i="1"/>
  <c r="J13" i="1"/>
  <c r="J14" i="1"/>
  <c r="J6" i="1"/>
  <c r="J3" i="1"/>
  <c r="J2" i="1"/>
  <c r="W3" i="1"/>
  <c r="K36" i="1" s="1"/>
  <c r="K34" i="1" l="1"/>
  <c r="K35" i="1"/>
  <c r="K30" i="1"/>
  <c r="K31" i="1"/>
  <c r="K26" i="1"/>
  <c r="K22" i="1"/>
  <c r="K20" i="1"/>
  <c r="K21" i="1"/>
  <c r="K18" i="1"/>
  <c r="K19" i="1"/>
  <c r="K16" i="1"/>
  <c r="K13" i="1"/>
  <c r="K14" i="1"/>
  <c r="K6" i="1"/>
  <c r="K2" i="1"/>
  <c r="K3" i="1"/>
</calcChain>
</file>

<file path=xl/sharedStrings.xml><?xml version="1.0" encoding="utf-8"?>
<sst xmlns="http://schemas.openxmlformats.org/spreadsheetml/2006/main" count="149" uniqueCount="129">
  <si>
    <t>STT</t>
  </si>
  <si>
    <t>Chỉ số</t>
  </si>
  <si>
    <t>CHỈ SỐ GIÀ HÓA</t>
  </si>
  <si>
    <t>01</t>
  </si>
  <si>
    <t>CHỈ SỐ PHÁT TRIỂN CON NGƯỜI</t>
  </si>
  <si>
    <t>DÂN SỐ TỪ 0-14 TUỔI CHIA THEO GIỚI TÍNH NAM</t>
  </si>
  <si>
    <t>cột thường</t>
  </si>
  <si>
    <t>Cột Nam</t>
  </si>
  <si>
    <t>Cột nữ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</si>
  <si>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</si>
  <si>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</si>
  <si>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</si>
  <si>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TRUNG BÌNH CHIA THEO GIỚI TÍNH NAM</t>
  </si>
  <si>
    <t>DÂN SỐ TỪ 60 TUỔI TRỞ LÊN CHIA THEO GIỚI TÍNH NỮ</t>
  </si>
  <si>
    <t>DÂN SỐ TRUNG BÌNH CHIA THEO GIỚI TÍNH NỮ</t>
  </si>
  <si>
    <t>thành thị</t>
  </si>
  <si>
    <t>nông thôn</t>
  </si>
  <si>
    <t>DÂN SỐ TRUNG BÌNH CHIA THEO THÀNH THỊ</t>
  </si>
  <si>
    <t xml:space="preserve">DÂN SỐ TRUNG BÌNH CHIA THEO NÔNG THÔN </t>
  </si>
  <si>
    <t>DIỆN TÍCH ĐẤT Ở</t>
  </si>
  <si>
    <t>Đơn vị tính</t>
  </si>
  <si>
    <t>Nghìn ha</t>
  </si>
  <si>
    <t>%</t>
  </si>
  <si>
    <t>HDI</t>
  </si>
  <si>
    <t>Người</t>
  </si>
  <si>
    <t>DIỆN TÍCH ĐẤT SẢN XUẤT NÔNG NGHIỆP</t>
  </si>
  <si>
    <t>Triệu đồng</t>
  </si>
  <si>
    <t>TỔNG SẢN PHẨM TRÊN ĐỊA BÀN BÌNH QUÂN ĐẦU NGƯỜI THEO GIÁ HIỆN HÀNH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</si>
  <si>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</si>
  <si>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</si>
  <si>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</si>
  <si>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</si>
  <si>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</si>
  <si>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</si>
  <si>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</si>
  <si>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</si>
  <si>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</si>
  <si>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</si>
  <si>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</si>
  <si>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</si>
  <si>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</si>
  <si>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</si>
  <si>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Hộ</t>
  </si>
  <si>
    <t>TỔNG SỐ HỘ DÂN CƯ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</si>
  <si>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</si>
  <si>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</si>
  <si>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</si>
  <si>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</si>
  <si>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</si>
  <si>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</si>
  <si>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</si>
  <si>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</si>
  <si>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</si>
  <si>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</si>
  <si>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</si>
  <si>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</si>
  <si>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</si>
  <si>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</si>
  <si>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</si>
  <si>
    <t>04</t>
  </si>
  <si>
    <t>MÃ TỈNH</t>
  </si>
  <si>
    <t>TÊN TỈNH</t>
  </si>
  <si>
    <t>TOÀN QUỐC</t>
  </si>
  <si>
    <t>Hà Nội</t>
  </si>
  <si>
    <t>02</t>
  </si>
  <si>
    <t>Hà Giang</t>
  </si>
  <si>
    <t>Cao Bằng</t>
  </si>
  <si>
    <t>Bắc Kạn</t>
  </si>
  <si>
    <t>08</t>
  </si>
  <si>
    <t>Tuyên Quang</t>
  </si>
  <si>
    <t>Lào Cai</t>
  </si>
  <si>
    <t>Điện Biên</t>
  </si>
  <si>
    <t>Lai Châu</t>
  </si>
  <si>
    <t>Sơn La</t>
  </si>
  <si>
    <t>Yên Bái</t>
  </si>
  <si>
    <t>Hoà Bình</t>
  </si>
  <si>
    <t>Thái Nguyên</t>
  </si>
  <si>
    <t>Lạng Sơn</t>
  </si>
  <si>
    <t>Quảng Ninh</t>
  </si>
  <si>
    <t>Bắc Giang</t>
  </si>
  <si>
    <t>Phú Thọ</t>
  </si>
  <si>
    <t>Vĩnh Phúc</t>
  </si>
  <si>
    <t>Bắc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</si>
  <si>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</si>
  <si>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</si>
  <si>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</si>
  <si>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</si>
  <si>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</si>
  <si>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</si>
  <si>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</si>
  <si>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</si>
  <si>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</si>
  <si>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</si>
  <si>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</si>
  <si>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</si>
  <si>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</si>
  <si>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</si>
  <si>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</si>
  <si>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</si>
  <si>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</si>
  <si>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</si>
  <si>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</si>
  <si>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</si>
  <si>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</si>
  <si>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Kon Tum</t>
  </si>
  <si>
    <t>Gia Lai</t>
  </si>
  <si>
    <t>Đắk Lắk</t>
  </si>
  <si>
    <t>Đắk Nông</t>
  </si>
  <si>
    <t>Lâm Đồng</t>
  </si>
  <si>
    <t>Bình Phước</t>
  </si>
  <si>
    <t>Tây Ninh</t>
  </si>
  <si>
    <t>Bình Dương</t>
  </si>
  <si>
    <t>Đồng Nai</t>
  </si>
  <si>
    <t>Bà Rịa-Vũng Tàu(***)</t>
  </si>
  <si>
    <t>TP Hồ Chí Minh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</si>
  <si>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</si>
  <si>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</si>
  <si>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</si>
  <si>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</si>
  <si>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</si>
  <si>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</si>
  <si>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</si>
  <si>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</si>
  <si>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</si>
  <si>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</si>
  <si>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</si>
  <si>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</si>
  <si>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</si>
  <si>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 xml:space="preserve">Tạo 1 tỉnh range 1980 đến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</si>
</sst>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_-;\-* #,##0.0_-;_-* &quot;-&quot;_-;_-@_-"/>
    <numFmt numFmtId="166" formatCode="_-* #,##0.00_-;\-* #,##0.00_-;_-* &quot;-&quot;_-;_-@_-"/>
  </numFmts>
  <fonts count="8" x14ac:knownFonts="1">
    <font>
      <sz val="11"/>
      <color theme="1"/>
      <name val="Aptos Narrow"/>
      <family val="2"/>
      <charset val="163"/>
      <scheme val="minor"/>
    </font>
    <font>
      <sz val="12"/>
      <color rgb="FF000000"/>
      <name val="Calibri"/>
    </font>
    <font>
      <sz val="11"/>
      <color theme="1"/>
      <name val="Aptos Narrow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  <charset val="163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6">
    <xf numFmtId="0" fontId="0" fillId="0" borderId="0" xfId="0"/>
    <xf numFmtId="165" fontId="0" fillId="0" borderId="0" xfId="1" applyNumberFormat="1" applyFont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right"/>
    </xf>
    <xf numFmtId="164" fontId="4" fillId="0" borderId="0" xfId="1" applyFont="1" applyAlignment="1">
      <alignment horizontal="right"/>
    </xf>
    <xf numFmtId="165" fontId="4" fillId="0" borderId="0" xfId="1" applyNumberFormat="1" applyFont="1" applyAlignment="1">
      <alignment horizontal="right"/>
    </xf>
    <xf numFmtId="166" fontId="4" fillId="0" borderId="0" xfId="1" applyNumberFormat="1" applyFont="1" applyAlignment="1">
      <alignment horizontal="right"/>
    </xf>
    <xf numFmtId="166" fontId="4" fillId="2" borderId="0" xfId="1" applyNumberFormat="1" applyFont="1" applyFill="1" applyAlignment="1">
      <alignment horizontal="right"/>
    </xf>
    <xf numFmtId="164" fontId="4" fillId="2" borderId="0" xfId="1" applyFont="1" applyFill="1" applyAlignment="1">
      <alignment horizontal="right"/>
    </xf>
    <xf numFmtId="165" fontId="4" fillId="2" borderId="0" xfId="1" applyNumberFormat="1" applyFont="1" applyFill="1" applyAlignment="1">
      <alignment horizontal="right"/>
    </xf>
    <xf numFmtId="165" fontId="4" fillId="2" borderId="0" xfId="0" applyNumberFormat="1" applyFont="1" applyFill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ChiSoGiaHoa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ChiSoGiaHo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ChiSoPhatTrienConNguoi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ChiSoPhatTrienConNguoi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0-14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0-1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60+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60+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60+ChiaTheoGioiTinh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60+ChiaTheoGioiTin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ChiaTheoGioiTinh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ChiaTheoGioiTinh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ChiaTheoThanhThiNongThon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anSoChiaTheoThanhThiNongTho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ienTichDatO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ienTichDatO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ienTichDatSanXuatNongNghiep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DienTichDatSanXuatNongNghie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GRDPBinhQuanDauNguoiTheoGiaHienHanh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GRDPBinhQuanDauNguoiTheoGiaHienHanh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PhuNu15-49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PhuNu15-49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SoDoanhNghiepDangHoatDong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SoDoanhNghiepDangHoatDong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SoThietHaiVeNongNghiepDoThienTai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SoThietHaiVeNongNghiepDoThienTai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SoThietHaiVeNguoiDoThienTai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SoThietHaiVeNguoiDoThienTai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SoThietHaiVeNhaODoThienTai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SoThietHaiVeNhaODoThienTai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cDoTangTruongGRDP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cDoTangTruongGRD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ngDanSo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ngDanSo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ngDienTich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ngDienTich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ngLuongChatThaiRanDuocThuGom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ngLuongChatThaiRanDuocThuGom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ngSoHoDanCu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ongSoHoDanCu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uoiThoBinhQuan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uoiThoBinhQu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uoiThoBinhQuanTheoNamNu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uoiThoBinhQuanTheoNamNu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CaSinhCoCanBoYTeDo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CaSinhCoCanBoYTeDo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HoNgheo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HoNgheo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LaoDongQuaDaoTao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LaoDongQuaDaoTao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PhuNuTranhThai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PhuNuTranhThai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TreEmDuoi1TuoiDuocTiemChung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LeTreEmDuoi1TuoiDuocTiemChung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SuatChetTreEmDuoi1Tuoi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SuatChetTreEmDuoi1Tuoi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SuatChetTreEmDuoi5Tuoi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SuatChetTreEmDuoi5Tuoi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SuatSinh.xlsx" TargetMode="External"/><Relationship Id="rId1" Type="http://schemas.openxmlformats.org/officeDocument/2006/relationships/externalLinkPath" Target="https://tieutinhlinh-my.sharepoint.com/personal/minhph11_tieutinhlinh_onmicrosoft_com/Documents/Desktop/Worl%20Today/&#273;&#7891;%20&#225;n%20t&#7889;t%20nghi&#7879;p%20c&#7911;a%20a%20T&#226;n/file%20LVTN/dulieu/TySuatSin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53.8</v>
          </cell>
          <cell r="D9">
            <v>61.3</v>
          </cell>
          <cell r="E9">
            <v>67.2</v>
          </cell>
          <cell r="F9">
            <v>50.1</v>
          </cell>
          <cell r="G9">
            <v>51.9</v>
          </cell>
          <cell r="H9">
            <v>56.6</v>
          </cell>
          <cell r="I9">
            <v>57.7</v>
          </cell>
          <cell r="J9">
            <v>62.6</v>
          </cell>
        </row>
        <row r="10">
          <cell r="A10" t="str">
            <v>02</v>
          </cell>
          <cell r="B10" t="str">
            <v>Hà Giang</v>
          </cell>
          <cell r="C10">
            <v>21.9</v>
          </cell>
          <cell r="D10">
            <v>21</v>
          </cell>
          <cell r="E10">
            <v>21.5</v>
          </cell>
          <cell r="F10">
            <v>22.2</v>
          </cell>
          <cell r="G10">
            <v>22.5</v>
          </cell>
          <cell r="H10">
            <v>21.5</v>
          </cell>
          <cell r="I10">
            <v>21.9</v>
          </cell>
          <cell r="J10">
            <v>22.8</v>
          </cell>
        </row>
        <row r="11">
          <cell r="A11" t="str">
            <v>04</v>
          </cell>
          <cell r="B11" t="str">
            <v>Cao Bằng</v>
          </cell>
          <cell r="C11">
            <v>37.6</v>
          </cell>
          <cell r="D11">
            <v>40.4</v>
          </cell>
          <cell r="E11">
            <v>42.3</v>
          </cell>
          <cell r="F11">
            <v>41.2</v>
          </cell>
          <cell r="G11">
            <v>42.3</v>
          </cell>
          <cell r="H11">
            <v>45.8</v>
          </cell>
          <cell r="I11">
            <v>45.6</v>
          </cell>
          <cell r="J11">
            <v>44.5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47.4</v>
          </cell>
        </row>
        <row r="14">
          <cell r="A14">
            <v>10</v>
          </cell>
          <cell r="B14" t="str">
            <v>Lào Cai</v>
          </cell>
          <cell r="C14">
            <v>24.9</v>
          </cell>
          <cell r="D14">
            <v>25.4</v>
          </cell>
          <cell r="E14">
            <v>25.6</v>
          </cell>
          <cell r="F14">
            <v>24.2</v>
          </cell>
          <cell r="G14">
            <v>24.9</v>
          </cell>
          <cell r="H14">
            <v>27</v>
          </cell>
          <cell r="I14">
            <v>27.4</v>
          </cell>
          <cell r="J14">
            <v>28.7</v>
          </cell>
        </row>
        <row r="15">
          <cell r="A15">
            <v>11</v>
          </cell>
          <cell r="B15" t="str">
            <v>Điện Biên</v>
          </cell>
          <cell r="C15">
            <v>19.399999999999999</v>
          </cell>
          <cell r="D15">
            <v>17</v>
          </cell>
          <cell r="E15">
            <v>19.3</v>
          </cell>
          <cell r="F15">
            <v>19.3</v>
          </cell>
          <cell r="G15">
            <v>20.8</v>
          </cell>
          <cell r="H15">
            <v>21.2</v>
          </cell>
          <cell r="I15">
            <v>22</v>
          </cell>
          <cell r="J15">
            <v>23.8</v>
          </cell>
        </row>
        <row r="16">
          <cell r="A16">
            <v>12</v>
          </cell>
          <cell r="B16" t="str">
            <v>Lai Châu</v>
          </cell>
          <cell r="C16">
            <v>15.4</v>
          </cell>
          <cell r="D16">
            <v>15.7</v>
          </cell>
          <cell r="E16">
            <v>16.7</v>
          </cell>
          <cell r="F16">
            <v>15.7</v>
          </cell>
          <cell r="G16">
            <v>17.3</v>
          </cell>
          <cell r="H16">
            <v>19</v>
          </cell>
          <cell r="I16">
            <v>17.3</v>
          </cell>
          <cell r="J16">
            <v>18.100000000000001</v>
          </cell>
        </row>
        <row r="17">
          <cell r="A17">
            <v>14</v>
          </cell>
          <cell r="B17" t="str">
            <v>Sơn La</v>
          </cell>
          <cell r="C17">
            <v>23</v>
          </cell>
          <cell r="D17">
            <v>24.5</v>
          </cell>
          <cell r="E17">
            <v>23.6</v>
          </cell>
          <cell r="F17">
            <v>23</v>
          </cell>
          <cell r="G17">
            <v>23.2</v>
          </cell>
          <cell r="H17">
            <v>27</v>
          </cell>
          <cell r="I17">
            <v>27.8</v>
          </cell>
          <cell r="J17">
            <v>29.5</v>
          </cell>
        </row>
        <row r="18">
          <cell r="A18">
            <v>15</v>
          </cell>
          <cell r="B18" t="str">
            <v>Yên Bái</v>
          </cell>
          <cell r="C18">
            <v>34</v>
          </cell>
          <cell r="D18">
            <v>39.6</v>
          </cell>
          <cell r="E18">
            <v>39.799999999999997</v>
          </cell>
          <cell r="F18">
            <v>36.1</v>
          </cell>
          <cell r="G18">
            <v>37.700000000000003</v>
          </cell>
          <cell r="H18">
            <v>39.4</v>
          </cell>
          <cell r="I18">
            <v>41.4</v>
          </cell>
          <cell r="J18">
            <v>42.1</v>
          </cell>
        </row>
        <row r="19">
          <cell r="A19">
            <v>17</v>
          </cell>
          <cell r="B19" t="str">
            <v>Hoà Bình</v>
          </cell>
          <cell r="C19">
            <v>37.6</v>
          </cell>
          <cell r="D19">
            <v>40.6</v>
          </cell>
          <cell r="E19">
            <v>43</v>
          </cell>
          <cell r="F19">
            <v>42.4</v>
          </cell>
          <cell r="G19">
            <v>45.1</v>
          </cell>
          <cell r="H19">
            <v>48.7</v>
          </cell>
          <cell r="I19">
            <v>60.7</v>
          </cell>
          <cell r="J19">
            <v>51.2</v>
          </cell>
        </row>
        <row r="20">
          <cell r="A20">
            <v>19</v>
          </cell>
          <cell r="B20" t="str">
            <v>Thái Nguyên</v>
          </cell>
          <cell r="C20">
            <v>49.8</v>
          </cell>
          <cell r="D20">
            <v>52.3</v>
          </cell>
          <cell r="E20">
            <v>58.2</v>
          </cell>
          <cell r="F20">
            <v>48.8</v>
          </cell>
          <cell r="G20">
            <v>50.6</v>
          </cell>
          <cell r="H20">
            <v>56.2</v>
          </cell>
          <cell r="I20">
            <v>51.6</v>
          </cell>
          <cell r="J20">
            <v>58.3</v>
          </cell>
        </row>
        <row r="21">
          <cell r="A21">
            <v>20</v>
          </cell>
          <cell r="B21" t="str">
            <v>Lạng Sơn</v>
          </cell>
          <cell r="C21">
            <v>40.5</v>
          </cell>
          <cell r="D21">
            <v>42.6</v>
          </cell>
          <cell r="E21">
            <v>45.5</v>
          </cell>
          <cell r="F21">
            <v>42.5</v>
          </cell>
          <cell r="G21">
            <v>44.8</v>
          </cell>
          <cell r="H21">
            <v>45.9</v>
          </cell>
          <cell r="I21">
            <v>47.4</v>
          </cell>
          <cell r="J21">
            <v>44.7</v>
          </cell>
        </row>
        <row r="22">
          <cell r="A22">
            <v>22</v>
          </cell>
          <cell r="B22" t="str">
            <v>Quảng Ninh</v>
          </cell>
          <cell r="C22">
            <v>52.8</v>
          </cell>
          <cell r="D22">
            <v>55.9</v>
          </cell>
          <cell r="E22">
            <v>55.4</v>
          </cell>
          <cell r="F22">
            <v>47.9</v>
          </cell>
          <cell r="G22">
            <v>51</v>
          </cell>
          <cell r="H22">
            <v>56.8</v>
          </cell>
          <cell r="I22">
            <v>54.1</v>
          </cell>
          <cell r="J22">
            <v>60.4</v>
          </cell>
        </row>
        <row r="23">
          <cell r="A23">
            <v>24</v>
          </cell>
          <cell r="B23" t="str">
            <v>Bắc Giang</v>
          </cell>
          <cell r="C23">
            <v>43.7</v>
          </cell>
          <cell r="D23">
            <v>46.8</v>
          </cell>
          <cell r="E23">
            <v>49.4</v>
          </cell>
          <cell r="F23">
            <v>45.4</v>
          </cell>
          <cell r="G23">
            <v>45.7</v>
          </cell>
          <cell r="H23">
            <v>51.6</v>
          </cell>
          <cell r="I23">
            <v>46.2</v>
          </cell>
          <cell r="J23">
            <v>50.3</v>
          </cell>
        </row>
        <row r="24">
          <cell r="A24">
            <v>25</v>
          </cell>
          <cell r="B24" t="str">
            <v>Phú Thọ</v>
          </cell>
          <cell r="C24">
            <v>55.8</v>
          </cell>
          <cell r="D24">
            <v>56.2</v>
          </cell>
          <cell r="E24">
            <v>59.5</v>
          </cell>
          <cell r="F24">
            <v>53</v>
          </cell>
          <cell r="G24">
            <v>52.7</v>
          </cell>
          <cell r="H24">
            <v>59.1</v>
          </cell>
          <cell r="I24">
            <v>58.1</v>
          </cell>
          <cell r="J24">
            <v>63.3</v>
          </cell>
        </row>
        <row r="25">
          <cell r="A25">
            <v>26</v>
          </cell>
          <cell r="B25" t="str">
            <v>Vĩnh Phúc</v>
          </cell>
          <cell r="C25">
            <v>46.7</v>
          </cell>
          <cell r="D25">
            <v>48.1</v>
          </cell>
          <cell r="E25">
            <v>53.8</v>
          </cell>
          <cell r="F25">
            <v>43.9</v>
          </cell>
          <cell r="G25">
            <v>46</v>
          </cell>
          <cell r="H25">
            <v>46</v>
          </cell>
          <cell r="I25">
            <v>46.8</v>
          </cell>
          <cell r="J25">
            <v>49.9</v>
          </cell>
        </row>
        <row r="26">
          <cell r="A26">
            <v>27</v>
          </cell>
          <cell r="B26" t="str">
            <v>Bắc Ninh</v>
          </cell>
          <cell r="C26">
            <v>48.7</v>
          </cell>
          <cell r="D26">
            <v>48.4</v>
          </cell>
          <cell r="E26">
            <v>52.6</v>
          </cell>
          <cell r="F26">
            <v>45.6</v>
          </cell>
          <cell r="G26">
            <v>47.1</v>
          </cell>
          <cell r="H26">
            <v>48</v>
          </cell>
          <cell r="I26">
            <v>48.9</v>
          </cell>
          <cell r="J26">
            <v>48.4</v>
          </cell>
        </row>
        <row r="27">
          <cell r="A27">
            <v>30</v>
          </cell>
          <cell r="B27" t="str">
            <v>Hải Dương</v>
          </cell>
          <cell r="C27">
            <v>68</v>
          </cell>
          <cell r="D27">
            <v>76.5</v>
          </cell>
          <cell r="E27">
            <v>84.2</v>
          </cell>
          <cell r="F27">
            <v>64.400000000000006</v>
          </cell>
          <cell r="G27">
            <v>66.3</v>
          </cell>
          <cell r="H27">
            <v>66.2</v>
          </cell>
          <cell r="I27">
            <v>70.8</v>
          </cell>
          <cell r="J27">
            <v>75.5</v>
          </cell>
        </row>
        <row r="28">
          <cell r="A28">
            <v>31</v>
          </cell>
          <cell r="B28" t="str">
            <v>Hải Phòng</v>
          </cell>
          <cell r="C28">
            <v>60.5</v>
          </cell>
          <cell r="D28">
            <v>59.1</v>
          </cell>
          <cell r="E28">
            <v>64.599999999999994</v>
          </cell>
          <cell r="F28">
            <v>61.8</v>
          </cell>
          <cell r="G28">
            <v>66.8</v>
          </cell>
          <cell r="H28">
            <v>65</v>
          </cell>
          <cell r="I28">
            <v>67.7</v>
          </cell>
          <cell r="J28">
            <v>77.900000000000006</v>
          </cell>
        </row>
        <row r="29">
          <cell r="A29">
            <v>33</v>
          </cell>
          <cell r="B29" t="str">
            <v>Hưng Yên</v>
          </cell>
          <cell r="C29">
            <v>69.599999999999994</v>
          </cell>
          <cell r="D29">
            <v>72.8</v>
          </cell>
          <cell r="E29">
            <v>74.5</v>
          </cell>
          <cell r="F29">
            <v>59.3</v>
          </cell>
          <cell r="G29">
            <v>63.8</v>
          </cell>
          <cell r="H29">
            <v>60.5</v>
          </cell>
          <cell r="I29">
            <v>68.7</v>
          </cell>
          <cell r="J29">
            <v>65.5</v>
          </cell>
        </row>
        <row r="30">
          <cell r="A30">
            <v>34</v>
          </cell>
          <cell r="B30" t="str">
            <v>Thái Bình</v>
          </cell>
          <cell r="C30">
            <v>96.3</v>
          </cell>
          <cell r="D30">
            <v>103.5</v>
          </cell>
          <cell r="E30">
            <v>106.3</v>
          </cell>
          <cell r="F30">
            <v>83.6</v>
          </cell>
          <cell r="G30">
            <v>94.9</v>
          </cell>
          <cell r="H30">
            <v>95.8</v>
          </cell>
          <cell r="I30">
            <v>93.7</v>
          </cell>
          <cell r="J30">
            <v>99.6</v>
          </cell>
        </row>
        <row r="31">
          <cell r="A31">
            <v>35</v>
          </cell>
          <cell r="B31" t="str">
            <v>Hà Nam</v>
          </cell>
          <cell r="C31">
            <v>73.2</v>
          </cell>
          <cell r="D31">
            <v>78.7</v>
          </cell>
          <cell r="E31">
            <v>80.099999999999994</v>
          </cell>
          <cell r="F31">
            <v>66</v>
          </cell>
          <cell r="G31">
            <v>69.599999999999994</v>
          </cell>
          <cell r="H31">
            <v>74.2</v>
          </cell>
          <cell r="I31">
            <v>76.7</v>
          </cell>
          <cell r="J31">
            <v>77.8</v>
          </cell>
        </row>
        <row r="32">
          <cell r="A32">
            <v>36</v>
          </cell>
          <cell r="B32" t="str">
            <v>Nam Định</v>
          </cell>
          <cell r="C32">
            <v>79.7</v>
          </cell>
          <cell r="D32">
            <v>81</v>
          </cell>
          <cell r="E32">
            <v>82.2</v>
          </cell>
          <cell r="F32">
            <v>73.5</v>
          </cell>
          <cell r="G32">
            <v>79.599999999999994</v>
          </cell>
          <cell r="H32">
            <v>72.7</v>
          </cell>
          <cell r="I32">
            <v>76.2</v>
          </cell>
          <cell r="J32">
            <v>85.3</v>
          </cell>
        </row>
        <row r="33">
          <cell r="A33">
            <v>37</v>
          </cell>
          <cell r="B33" t="str">
            <v>Ninh Bình</v>
          </cell>
          <cell r="C33">
            <v>70.5</v>
          </cell>
          <cell r="D33">
            <v>78</v>
          </cell>
          <cell r="E33">
            <v>82.2</v>
          </cell>
          <cell r="F33">
            <v>60.3</v>
          </cell>
          <cell r="G33">
            <v>66.400000000000006</v>
          </cell>
          <cell r="H33">
            <v>64</v>
          </cell>
          <cell r="I33">
            <v>61.1</v>
          </cell>
          <cell r="J33">
            <v>68.400000000000006</v>
          </cell>
        </row>
        <row r="34">
          <cell r="A34">
            <v>38</v>
          </cell>
          <cell r="B34" t="str">
            <v>Thanh Hoá</v>
          </cell>
          <cell r="C34">
            <v>60.3</v>
          </cell>
          <cell r="D34">
            <v>62.4</v>
          </cell>
          <cell r="E34">
            <v>64.900000000000006</v>
          </cell>
          <cell r="F34">
            <v>57.4</v>
          </cell>
          <cell r="G34">
            <v>57.3</v>
          </cell>
          <cell r="H34">
            <v>63.2</v>
          </cell>
          <cell r="I34">
            <v>59.8</v>
          </cell>
          <cell r="J34">
            <v>65.2</v>
          </cell>
        </row>
        <row r="35">
          <cell r="A35">
            <v>40</v>
          </cell>
          <cell r="B35" t="str">
            <v>Nghệ An</v>
          </cell>
          <cell r="C35">
            <v>46.6</v>
          </cell>
          <cell r="D35">
            <v>52.8</v>
          </cell>
          <cell r="E35">
            <v>53.3</v>
          </cell>
          <cell r="F35">
            <v>46.5</v>
          </cell>
          <cell r="G35">
            <v>44.6</v>
          </cell>
          <cell r="H35">
            <v>49.8</v>
          </cell>
          <cell r="I35">
            <v>47.8</v>
          </cell>
          <cell r="J35">
            <v>53.3</v>
          </cell>
        </row>
        <row r="36">
          <cell r="A36">
            <v>42</v>
          </cell>
          <cell r="B36" t="str">
            <v>Hà Tĩnh</v>
          </cell>
          <cell r="C36">
            <v>70.099999999999994</v>
          </cell>
          <cell r="D36">
            <v>64.599999999999994</v>
          </cell>
          <cell r="E36">
            <v>64.900000000000006</v>
          </cell>
          <cell r="F36">
            <v>60</v>
          </cell>
          <cell r="G36">
            <v>61</v>
          </cell>
          <cell r="H36">
            <v>60.9</v>
          </cell>
          <cell r="I36">
            <v>63.5</v>
          </cell>
          <cell r="J36">
            <v>61.8</v>
          </cell>
        </row>
        <row r="37">
          <cell r="A37">
            <v>44</v>
          </cell>
          <cell r="B37" t="str">
            <v>Quảng Bình</v>
          </cell>
          <cell r="C37">
            <v>46.8</v>
          </cell>
          <cell r="D37">
            <v>53.6</v>
          </cell>
          <cell r="E37">
            <v>54.8</v>
          </cell>
          <cell r="F37">
            <v>48.1</v>
          </cell>
          <cell r="G37">
            <v>52</v>
          </cell>
          <cell r="H37">
            <v>50.1</v>
          </cell>
          <cell r="I37">
            <v>50.6</v>
          </cell>
          <cell r="J37">
            <v>54.1</v>
          </cell>
        </row>
        <row r="38">
          <cell r="A38">
            <v>45</v>
          </cell>
          <cell r="B38" t="str">
            <v>Quảng Trị</v>
          </cell>
          <cell r="C38">
            <v>48.3</v>
          </cell>
          <cell r="D38">
            <v>52</v>
          </cell>
          <cell r="E38">
            <v>52.9</v>
          </cell>
          <cell r="F38">
            <v>50.2</v>
          </cell>
          <cell r="G38">
            <v>49.6</v>
          </cell>
          <cell r="H38">
            <v>47.9</v>
          </cell>
          <cell r="I38">
            <v>47.1</v>
          </cell>
          <cell r="J38">
            <v>52.5</v>
          </cell>
        </row>
        <row r="39">
          <cell r="A39">
            <v>46</v>
          </cell>
          <cell r="B39" t="str">
            <v>Thừa Thiên Huế</v>
          </cell>
          <cell r="C39">
            <v>58.7</v>
          </cell>
          <cell r="D39">
            <v>57.7</v>
          </cell>
          <cell r="E39">
            <v>63.2</v>
          </cell>
          <cell r="F39">
            <v>56.1</v>
          </cell>
          <cell r="G39">
            <v>58.5</v>
          </cell>
          <cell r="H39">
            <v>56.9</v>
          </cell>
          <cell r="I39">
            <v>52.3</v>
          </cell>
          <cell r="J39">
            <v>61.6</v>
          </cell>
        </row>
        <row r="40">
          <cell r="A40">
            <v>48</v>
          </cell>
          <cell r="B40" t="str">
            <v>Đà Nẵng</v>
          </cell>
          <cell r="C40">
            <v>45.9</v>
          </cell>
          <cell r="D40">
            <v>48.7</v>
          </cell>
          <cell r="E40">
            <v>53.4</v>
          </cell>
          <cell r="F40">
            <v>42.1</v>
          </cell>
          <cell r="G40">
            <v>41.9</v>
          </cell>
          <cell r="H40">
            <v>44.9</v>
          </cell>
          <cell r="I40">
            <v>43.4</v>
          </cell>
          <cell r="J40">
            <v>47.9</v>
          </cell>
        </row>
        <row r="41">
          <cell r="A41">
            <v>49</v>
          </cell>
          <cell r="B41" t="str">
            <v>Quảng Nam</v>
          </cell>
          <cell r="C41">
            <v>61.6</v>
          </cell>
          <cell r="D41">
            <v>67.900000000000006</v>
          </cell>
          <cell r="E41">
            <v>66.8</v>
          </cell>
          <cell r="F41">
            <v>60.1</v>
          </cell>
          <cell r="G41">
            <v>59.4</v>
          </cell>
          <cell r="H41">
            <v>58.4</v>
          </cell>
          <cell r="I41">
            <v>57.2</v>
          </cell>
          <cell r="J41">
            <v>62.2</v>
          </cell>
        </row>
        <row r="42">
          <cell r="A42">
            <v>51</v>
          </cell>
          <cell r="B42" t="str">
            <v>Quảng Ngãi</v>
          </cell>
          <cell r="C42">
            <v>73.5</v>
          </cell>
          <cell r="D42">
            <v>67.8</v>
          </cell>
          <cell r="E42">
            <v>69.8</v>
          </cell>
          <cell r="F42">
            <v>61</v>
          </cell>
          <cell r="G42">
            <v>62.7</v>
          </cell>
          <cell r="H42">
            <v>61</v>
          </cell>
          <cell r="I42">
            <v>55.8</v>
          </cell>
          <cell r="J42">
            <v>62.4</v>
          </cell>
        </row>
        <row r="43">
          <cell r="A43">
            <v>52</v>
          </cell>
          <cell r="B43" t="str">
            <v>Bình Định</v>
          </cell>
          <cell r="C43">
            <v>61.5</v>
          </cell>
          <cell r="D43">
            <v>68.5</v>
          </cell>
          <cell r="E43">
            <v>72.8</v>
          </cell>
          <cell r="F43">
            <v>60.1</v>
          </cell>
          <cell r="G43">
            <v>57.6</v>
          </cell>
          <cell r="H43">
            <v>62.9</v>
          </cell>
          <cell r="I43">
            <v>69.2</v>
          </cell>
          <cell r="J43">
            <v>67.900000000000006</v>
          </cell>
        </row>
        <row r="44">
          <cell r="A44">
            <v>54</v>
          </cell>
          <cell r="B44" t="str">
            <v>Phú Yên</v>
          </cell>
          <cell r="C44">
            <v>50.5</v>
          </cell>
          <cell r="D44">
            <v>52.4</v>
          </cell>
          <cell r="E44">
            <v>57.2</v>
          </cell>
          <cell r="F44">
            <v>49.4</v>
          </cell>
          <cell r="G44">
            <v>56.3</v>
          </cell>
          <cell r="H44">
            <v>55.2</v>
          </cell>
          <cell r="I44">
            <v>50.4</v>
          </cell>
          <cell r="J44">
            <v>58.1</v>
          </cell>
        </row>
        <row r="45">
          <cell r="A45">
            <v>56</v>
          </cell>
          <cell r="B45" t="str">
            <v>Khánh Hoà</v>
          </cell>
          <cell r="C45">
            <v>51</v>
          </cell>
          <cell r="D45">
            <v>53.4</v>
          </cell>
          <cell r="E45">
            <v>63.6</v>
          </cell>
          <cell r="F45">
            <v>48.7</v>
          </cell>
          <cell r="G45">
            <v>50.3</v>
          </cell>
          <cell r="H45">
            <v>52.4</v>
          </cell>
          <cell r="I45">
            <v>59.1</v>
          </cell>
          <cell r="J45">
            <v>67.400000000000006</v>
          </cell>
        </row>
        <row r="46">
          <cell r="A46">
            <v>58</v>
          </cell>
          <cell r="B46" t="str">
            <v>Ninh Thuận</v>
          </cell>
          <cell r="C46">
            <v>36.4</v>
          </cell>
          <cell r="D46">
            <v>37</v>
          </cell>
          <cell r="E46">
            <v>39</v>
          </cell>
          <cell r="F46">
            <v>35.299999999999997</v>
          </cell>
          <cell r="G46">
            <v>35.6</v>
          </cell>
          <cell r="H46">
            <v>39.9</v>
          </cell>
          <cell r="I46">
            <v>44.4</v>
          </cell>
          <cell r="J46">
            <v>44.7</v>
          </cell>
        </row>
        <row r="47">
          <cell r="A47">
            <v>60</v>
          </cell>
          <cell r="B47" t="str">
            <v>Bình Thuận</v>
          </cell>
          <cell r="C47">
            <v>41.3</v>
          </cell>
          <cell r="D47">
            <v>42</v>
          </cell>
          <cell r="E47">
            <v>47.8</v>
          </cell>
          <cell r="F47">
            <v>41.1</v>
          </cell>
          <cell r="G47">
            <v>43.7</v>
          </cell>
          <cell r="H47">
            <v>42.3</v>
          </cell>
          <cell r="I47">
            <v>43.9</v>
          </cell>
          <cell r="J47">
            <v>50</v>
          </cell>
        </row>
        <row r="48">
          <cell r="A48">
            <v>62</v>
          </cell>
          <cell r="B48" t="str">
            <v>Kon Tum</v>
          </cell>
          <cell r="C48">
            <v>20.8</v>
          </cell>
          <cell r="D48">
            <v>25.9</v>
          </cell>
          <cell r="E48">
            <v>26.5</v>
          </cell>
          <cell r="F48">
            <v>20.8</v>
          </cell>
          <cell r="G48">
            <v>22.4</v>
          </cell>
          <cell r="H48">
            <v>22.6</v>
          </cell>
          <cell r="I48">
            <v>26.1</v>
          </cell>
          <cell r="J48">
            <v>28.7</v>
          </cell>
        </row>
        <row r="49">
          <cell r="A49">
            <v>64</v>
          </cell>
          <cell r="B49" t="str">
            <v>Gia Lai</v>
          </cell>
          <cell r="C49">
            <v>24.3</v>
          </cell>
          <cell r="D49">
            <v>25.1</v>
          </cell>
          <cell r="E49">
            <v>27.4</v>
          </cell>
          <cell r="F49">
            <v>24.1</v>
          </cell>
          <cell r="G49">
            <v>23.9</v>
          </cell>
          <cell r="H49">
            <v>26.5</v>
          </cell>
          <cell r="I49">
            <v>27.3</v>
          </cell>
          <cell r="J49">
            <v>28.6</v>
          </cell>
        </row>
        <row r="50">
          <cell r="A50">
            <v>66</v>
          </cell>
          <cell r="B50" t="str">
            <v>Đắk Lắk</v>
          </cell>
          <cell r="C50">
            <v>32.5</v>
          </cell>
          <cell r="D50">
            <v>33.799999999999997</v>
          </cell>
          <cell r="E50">
            <v>35.6</v>
          </cell>
          <cell r="F50">
            <v>32.299999999999997</v>
          </cell>
          <cell r="G50">
            <v>31.7</v>
          </cell>
          <cell r="H50">
            <v>37.5</v>
          </cell>
          <cell r="I50">
            <v>34.5</v>
          </cell>
          <cell r="J50">
            <v>42.6</v>
          </cell>
        </row>
        <row r="51">
          <cell r="A51">
            <v>67</v>
          </cell>
          <cell r="B51" t="str">
            <v>Đắk Nông</v>
          </cell>
          <cell r="C51">
            <v>21.6</v>
          </cell>
          <cell r="D51">
            <v>20.2</v>
          </cell>
          <cell r="E51">
            <v>22.3</v>
          </cell>
          <cell r="F51">
            <v>19.8</v>
          </cell>
          <cell r="G51">
            <v>20.9</v>
          </cell>
          <cell r="H51">
            <v>23.7</v>
          </cell>
          <cell r="I51">
            <v>23.7</v>
          </cell>
          <cell r="J51">
            <v>24.7</v>
          </cell>
        </row>
        <row r="52">
          <cell r="A52">
            <v>68</v>
          </cell>
          <cell r="B52" t="str">
            <v>Lâm Đồng</v>
          </cell>
          <cell r="C52">
            <v>35</v>
          </cell>
          <cell r="D52">
            <v>40.200000000000003</v>
          </cell>
          <cell r="E52">
            <v>43.3</v>
          </cell>
          <cell r="F52">
            <v>35.9</v>
          </cell>
          <cell r="G52">
            <v>34.200000000000003</v>
          </cell>
          <cell r="H52">
            <v>40.200000000000003</v>
          </cell>
          <cell r="I52">
            <v>43.3</v>
          </cell>
          <cell r="J52">
            <v>44.5</v>
          </cell>
        </row>
        <row r="53">
          <cell r="A53">
            <v>70</v>
          </cell>
          <cell r="B53" t="str">
            <v>Bình Phước</v>
          </cell>
          <cell r="C53">
            <v>30.4</v>
          </cell>
          <cell r="D53">
            <v>32.799999999999997</v>
          </cell>
          <cell r="E53">
            <v>38.200000000000003</v>
          </cell>
          <cell r="F53">
            <v>32.200000000000003</v>
          </cell>
          <cell r="G53">
            <v>37.5</v>
          </cell>
          <cell r="H53">
            <v>36.5</v>
          </cell>
          <cell r="I53">
            <v>34.6</v>
          </cell>
          <cell r="J53">
            <v>41</v>
          </cell>
        </row>
        <row r="54">
          <cell r="A54">
            <v>72</v>
          </cell>
          <cell r="B54" t="str">
            <v>Tây Ninh</v>
          </cell>
          <cell r="C54">
            <v>50.7</v>
          </cell>
          <cell r="D54">
            <v>55.8</v>
          </cell>
          <cell r="E54">
            <v>59.4</v>
          </cell>
          <cell r="F54">
            <v>52.5</v>
          </cell>
          <cell r="G54">
            <v>55.5</v>
          </cell>
          <cell r="H54">
            <v>56.7</v>
          </cell>
          <cell r="I54">
            <v>57.2</v>
          </cell>
          <cell r="J54">
            <v>64</v>
          </cell>
        </row>
        <row r="55">
          <cell r="A55">
            <v>74</v>
          </cell>
          <cell r="B55" t="str">
            <v>Bình Dương</v>
          </cell>
          <cell r="C55">
            <v>32.5</v>
          </cell>
          <cell r="D55">
            <v>36.299999999999997</v>
          </cell>
          <cell r="E55">
            <v>37</v>
          </cell>
          <cell r="F55">
            <v>27.6</v>
          </cell>
          <cell r="G55">
            <v>26.5</v>
          </cell>
          <cell r="H55">
            <v>30.2</v>
          </cell>
          <cell r="I55">
            <v>35.4</v>
          </cell>
          <cell r="J55">
            <v>32.6</v>
          </cell>
        </row>
        <row r="56">
          <cell r="A56">
            <v>75</v>
          </cell>
          <cell r="B56" t="str">
            <v>Đồng Nai</v>
          </cell>
          <cell r="C56">
            <v>40.5</v>
          </cell>
          <cell r="D56">
            <v>45.9</v>
          </cell>
          <cell r="E56">
            <v>51.5</v>
          </cell>
          <cell r="F56">
            <v>38</v>
          </cell>
          <cell r="G56">
            <v>40.799999999999997</v>
          </cell>
          <cell r="H56">
            <v>42.1</v>
          </cell>
          <cell r="I56">
            <v>43.3</v>
          </cell>
          <cell r="J56">
            <v>45.7</v>
          </cell>
        </row>
        <row r="57">
          <cell r="A57">
            <v>77</v>
          </cell>
          <cell r="B57" t="str">
            <v>Bà Rịa-Vũng Tàu(***)</v>
          </cell>
          <cell r="C57">
            <v>43.5</v>
          </cell>
          <cell r="D57">
            <v>44.8</v>
          </cell>
          <cell r="E57">
            <v>51.6</v>
          </cell>
          <cell r="F57">
            <v>42.9</v>
          </cell>
          <cell r="G57">
            <v>45.3</v>
          </cell>
          <cell r="H57">
            <v>50.7</v>
          </cell>
          <cell r="I57">
            <v>50.9</v>
          </cell>
          <cell r="J57">
            <v>53.6</v>
          </cell>
        </row>
        <row r="58">
          <cell r="A58">
            <v>79</v>
          </cell>
          <cell r="B58" t="str">
            <v>TP Hồ Chí Minh</v>
          </cell>
          <cell r="C58">
            <v>50.9</v>
          </cell>
          <cell r="D58">
            <v>54.9</v>
          </cell>
          <cell r="E58">
            <v>58.8</v>
          </cell>
          <cell r="F58">
            <v>49.4</v>
          </cell>
          <cell r="G58">
            <v>55.7</v>
          </cell>
          <cell r="H58">
            <v>56.4</v>
          </cell>
          <cell r="I58">
            <v>61.4</v>
          </cell>
          <cell r="J58">
            <v>65.400000000000006</v>
          </cell>
        </row>
        <row r="59">
          <cell r="A59">
            <v>80</v>
          </cell>
          <cell r="B59" t="str">
            <v>Long An</v>
          </cell>
          <cell r="C59">
            <v>56.5</v>
          </cell>
          <cell r="D59">
            <v>62</v>
          </cell>
          <cell r="E59">
            <v>64.8</v>
          </cell>
          <cell r="F59">
            <v>57.7</v>
          </cell>
          <cell r="G59">
            <v>58.5</v>
          </cell>
          <cell r="H59">
            <v>61.4</v>
          </cell>
          <cell r="I59">
            <v>64.099999999999994</v>
          </cell>
          <cell r="J59">
            <v>66.8</v>
          </cell>
        </row>
        <row r="60">
          <cell r="A60">
            <v>82</v>
          </cell>
          <cell r="B60" t="str">
            <v>Tiền Giang</v>
          </cell>
          <cell r="C60">
            <v>57.7</v>
          </cell>
          <cell r="D60">
            <v>60.3</v>
          </cell>
          <cell r="E60">
            <v>65.3</v>
          </cell>
          <cell r="F60">
            <v>66.2</v>
          </cell>
          <cell r="G60">
            <v>68.2</v>
          </cell>
          <cell r="H60">
            <v>71.3</v>
          </cell>
          <cell r="I60">
            <v>68.5</v>
          </cell>
          <cell r="J60">
            <v>76.599999999999994</v>
          </cell>
        </row>
        <row r="61">
          <cell r="A61">
            <v>83</v>
          </cell>
          <cell r="B61" t="str">
            <v>Bến Tre</v>
          </cell>
          <cell r="C61">
            <v>69.900000000000006</v>
          </cell>
          <cell r="D61">
            <v>74.900000000000006</v>
          </cell>
          <cell r="E61">
            <v>82.3</v>
          </cell>
          <cell r="F61">
            <v>77.8</v>
          </cell>
          <cell r="G61">
            <v>78.599999999999994</v>
          </cell>
          <cell r="H61">
            <v>79.8</v>
          </cell>
          <cell r="I61">
            <v>80</v>
          </cell>
          <cell r="J61">
            <v>87.8</v>
          </cell>
        </row>
        <row r="62">
          <cell r="A62">
            <v>84</v>
          </cell>
          <cell r="B62" t="str">
            <v>Trà Vinh</v>
          </cell>
          <cell r="C62">
            <v>56.1</v>
          </cell>
          <cell r="D62">
            <v>60.8</v>
          </cell>
          <cell r="E62">
            <v>64</v>
          </cell>
          <cell r="F62">
            <v>58.4</v>
          </cell>
          <cell r="G62">
            <v>61.8</v>
          </cell>
          <cell r="H62">
            <v>61.9</v>
          </cell>
          <cell r="I62">
            <v>64.7</v>
          </cell>
          <cell r="J62">
            <v>66.599999999999994</v>
          </cell>
        </row>
        <row r="63">
          <cell r="A63">
            <v>86</v>
          </cell>
          <cell r="B63" t="str">
            <v>Vĩnh Long</v>
          </cell>
          <cell r="C63">
            <v>64</v>
          </cell>
          <cell r="D63">
            <v>72.099999999999994</v>
          </cell>
          <cell r="E63">
            <v>72.099999999999994</v>
          </cell>
          <cell r="F63">
            <v>72.400000000000006</v>
          </cell>
          <cell r="G63">
            <v>79.099999999999994</v>
          </cell>
          <cell r="H63">
            <v>75.099999999999994</v>
          </cell>
          <cell r="I63">
            <v>78.900000000000006</v>
          </cell>
          <cell r="J63">
            <v>89.2</v>
          </cell>
        </row>
        <row r="64">
          <cell r="A64">
            <v>87</v>
          </cell>
          <cell r="B64" t="str">
            <v>Đồng Tháp</v>
          </cell>
          <cell r="C64">
            <v>54.2</v>
          </cell>
          <cell r="D64">
            <v>56.8</v>
          </cell>
          <cell r="E64">
            <v>62</v>
          </cell>
          <cell r="F64">
            <v>59</v>
          </cell>
          <cell r="G64">
            <v>57</v>
          </cell>
          <cell r="H64">
            <v>63.9</v>
          </cell>
          <cell r="I64">
            <v>69</v>
          </cell>
          <cell r="J64">
            <v>73.2</v>
          </cell>
        </row>
        <row r="65">
          <cell r="A65">
            <v>89</v>
          </cell>
          <cell r="B65" t="str">
            <v>An Giang</v>
          </cell>
          <cell r="C65">
            <v>49.6</v>
          </cell>
          <cell r="D65">
            <v>55</v>
          </cell>
          <cell r="E65">
            <v>57.2</v>
          </cell>
          <cell r="F65">
            <v>52</v>
          </cell>
          <cell r="G65">
            <v>56.2</v>
          </cell>
          <cell r="H65">
            <v>58.4</v>
          </cell>
          <cell r="I65">
            <v>55.6</v>
          </cell>
          <cell r="J65">
            <v>62.8</v>
          </cell>
        </row>
        <row r="66">
          <cell r="A66">
            <v>91</v>
          </cell>
          <cell r="B66" t="str">
            <v>Kiên Giang</v>
          </cell>
          <cell r="C66">
            <v>44.3</v>
          </cell>
          <cell r="D66">
            <v>46.4</v>
          </cell>
          <cell r="E66">
            <v>50.1</v>
          </cell>
          <cell r="F66">
            <v>45.9</v>
          </cell>
          <cell r="G66">
            <v>49.7</v>
          </cell>
          <cell r="H66">
            <v>53.6</v>
          </cell>
          <cell r="I66">
            <v>54.1</v>
          </cell>
          <cell r="J66">
            <v>60.1</v>
          </cell>
        </row>
        <row r="67">
          <cell r="A67">
            <v>92</v>
          </cell>
          <cell r="B67" t="str">
            <v>Cần Thơ</v>
          </cell>
          <cell r="C67">
            <v>55.3</v>
          </cell>
          <cell r="D67">
            <v>60.9</v>
          </cell>
          <cell r="E67">
            <v>65.2</v>
          </cell>
          <cell r="F67">
            <v>59.7</v>
          </cell>
          <cell r="G67">
            <v>65.599999999999994</v>
          </cell>
          <cell r="H67">
            <v>62.3</v>
          </cell>
          <cell r="I67">
            <v>68.099999999999994</v>
          </cell>
          <cell r="J67">
            <v>75.7</v>
          </cell>
        </row>
        <row r="68">
          <cell r="A68">
            <v>93</v>
          </cell>
          <cell r="B68" t="str">
            <v>Hậu Giang</v>
          </cell>
          <cell r="C68">
            <v>59.1</v>
          </cell>
          <cell r="D68">
            <v>63.6</v>
          </cell>
          <cell r="E68">
            <v>65</v>
          </cell>
          <cell r="F68">
            <v>59.4</v>
          </cell>
          <cell r="G68">
            <v>59.7</v>
          </cell>
          <cell r="H68">
            <v>65</v>
          </cell>
          <cell r="I68">
            <v>67</v>
          </cell>
          <cell r="J68">
            <v>77.7</v>
          </cell>
        </row>
        <row r="69">
          <cell r="A69">
            <v>94</v>
          </cell>
          <cell r="B69" t="str">
            <v>Sóc Trăng</v>
          </cell>
          <cell r="C69">
            <v>53.2</v>
          </cell>
          <cell r="D69">
            <v>56.2</v>
          </cell>
          <cell r="E69">
            <v>62.8</v>
          </cell>
          <cell r="F69">
            <v>57</v>
          </cell>
          <cell r="G69">
            <v>62.1</v>
          </cell>
          <cell r="H69">
            <v>63.2</v>
          </cell>
          <cell r="I69">
            <v>67</v>
          </cell>
          <cell r="J69">
            <v>73.400000000000006</v>
          </cell>
        </row>
        <row r="70">
          <cell r="A70">
            <v>95</v>
          </cell>
          <cell r="B70" t="str">
            <v>Bạc Liêu</v>
          </cell>
          <cell r="C70">
            <v>55.5</v>
          </cell>
          <cell r="D70">
            <v>65.8</v>
          </cell>
          <cell r="E70">
            <v>68.7</v>
          </cell>
          <cell r="F70">
            <v>55.6</v>
          </cell>
          <cell r="G70">
            <v>62.5</v>
          </cell>
          <cell r="H70">
            <v>65.400000000000006</v>
          </cell>
          <cell r="I70">
            <v>68.400000000000006</v>
          </cell>
          <cell r="J70">
            <v>75.599999999999994</v>
          </cell>
        </row>
        <row r="71">
          <cell r="A71">
            <v>96</v>
          </cell>
          <cell r="B71" t="str">
            <v>Cà Mau</v>
          </cell>
          <cell r="C71">
            <v>46.6</v>
          </cell>
          <cell r="D71">
            <v>52</v>
          </cell>
          <cell r="E71">
            <v>61.8</v>
          </cell>
          <cell r="F71">
            <v>51</v>
          </cell>
          <cell r="G71">
            <v>55.6</v>
          </cell>
          <cell r="H71">
            <v>56.4</v>
          </cell>
          <cell r="I71">
            <v>60.6</v>
          </cell>
          <cell r="J71">
            <v>73.400000000000006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0.78</v>
          </cell>
          <cell r="D9">
            <v>0.79</v>
          </cell>
          <cell r="E9">
            <v>0.79</v>
          </cell>
          <cell r="F9">
            <v>0.8</v>
          </cell>
          <cell r="G9">
            <v>0.8</v>
          </cell>
          <cell r="H9">
            <v>0.81</v>
          </cell>
          <cell r="I9">
            <v>0.82</v>
          </cell>
          <cell r="J9">
            <v>0.82</v>
          </cell>
        </row>
        <row r="10">
          <cell r="A10" t="str">
            <v>02</v>
          </cell>
          <cell r="B10" t="str">
            <v>Hà Giang</v>
          </cell>
          <cell r="C10">
            <v>0.56000000000000005</v>
          </cell>
          <cell r="D10">
            <v>0.56000000000000005</v>
          </cell>
          <cell r="E10">
            <v>0.56999999999999995</v>
          </cell>
          <cell r="F10">
            <v>0.57999999999999996</v>
          </cell>
          <cell r="G10">
            <v>0.59</v>
          </cell>
          <cell r="H10">
            <v>0.59</v>
          </cell>
          <cell r="I10">
            <v>0.6</v>
          </cell>
          <cell r="J10">
            <v>0.63</v>
          </cell>
        </row>
        <row r="11">
          <cell r="A11" t="str">
            <v>04</v>
          </cell>
          <cell r="B11" t="str">
            <v>Cao Bằng</v>
          </cell>
          <cell r="C11">
            <v>0.61</v>
          </cell>
          <cell r="D11">
            <v>0.62</v>
          </cell>
          <cell r="E11">
            <v>0.62</v>
          </cell>
          <cell r="F11">
            <v>0.63</v>
          </cell>
          <cell r="G11">
            <v>0.64</v>
          </cell>
          <cell r="H11">
            <v>0.65</v>
          </cell>
          <cell r="I11">
            <v>0.66</v>
          </cell>
          <cell r="J11">
            <v>0.67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0.7</v>
          </cell>
        </row>
        <row r="14">
          <cell r="A14">
            <v>10</v>
          </cell>
          <cell r="B14" t="str">
            <v>Lào Cai</v>
          </cell>
          <cell r="C14">
            <v>0.63</v>
          </cell>
          <cell r="D14">
            <v>0.64</v>
          </cell>
          <cell r="E14">
            <v>0.64</v>
          </cell>
          <cell r="F14">
            <v>0.66</v>
          </cell>
          <cell r="G14">
            <v>0.66</v>
          </cell>
          <cell r="H14">
            <v>0.67</v>
          </cell>
          <cell r="I14">
            <v>0.69</v>
          </cell>
          <cell r="J14">
            <v>0.69</v>
          </cell>
        </row>
        <row r="15">
          <cell r="A15">
            <v>11</v>
          </cell>
          <cell r="B15" t="str">
            <v>Điện Biên</v>
          </cell>
          <cell r="C15">
            <v>0.73</v>
          </cell>
          <cell r="D15">
            <v>0.74</v>
          </cell>
          <cell r="E15">
            <v>0.75</v>
          </cell>
          <cell r="F15">
            <v>0.75</v>
          </cell>
          <cell r="G15">
            <v>0.74</v>
          </cell>
          <cell r="H15">
            <v>0.61</v>
          </cell>
          <cell r="I15">
            <v>0.62</v>
          </cell>
          <cell r="J15">
            <v>0.78</v>
          </cell>
        </row>
        <row r="16">
          <cell r="A16">
            <v>12</v>
          </cell>
          <cell r="B16" t="str">
            <v>Lai Châu</v>
          </cell>
          <cell r="C16">
            <v>0.65</v>
          </cell>
          <cell r="D16">
            <v>0.66</v>
          </cell>
          <cell r="E16">
            <v>0.67</v>
          </cell>
          <cell r="F16">
            <v>0.67</v>
          </cell>
          <cell r="G16">
            <v>0.67</v>
          </cell>
          <cell r="H16">
            <v>0.6</v>
          </cell>
          <cell r="I16">
            <v>0.6</v>
          </cell>
          <cell r="J16">
            <v>0.7</v>
          </cell>
        </row>
        <row r="17">
          <cell r="A17">
            <v>14</v>
          </cell>
          <cell r="B17" t="str">
            <v>Sơn La</v>
          </cell>
          <cell r="C17">
            <v>0.67</v>
          </cell>
          <cell r="D17">
            <v>0.68</v>
          </cell>
          <cell r="E17">
            <v>0.69</v>
          </cell>
          <cell r="F17">
            <v>0.7</v>
          </cell>
          <cell r="G17">
            <v>0.71</v>
          </cell>
          <cell r="H17">
            <v>0.64</v>
          </cell>
          <cell r="I17">
            <v>0.65</v>
          </cell>
          <cell r="J17">
            <v>0.75</v>
          </cell>
        </row>
        <row r="18">
          <cell r="A18">
            <v>15</v>
          </cell>
          <cell r="B18" t="str">
            <v>Yên Bái</v>
          </cell>
          <cell r="C18">
            <v>0.56999999999999995</v>
          </cell>
          <cell r="D18">
            <v>0.57999999999999996</v>
          </cell>
          <cell r="E18">
            <v>0.59</v>
          </cell>
          <cell r="F18">
            <v>0.59</v>
          </cell>
          <cell r="G18">
            <v>0.6</v>
          </cell>
          <cell r="H18">
            <v>0.65</v>
          </cell>
          <cell r="I18">
            <v>0.66</v>
          </cell>
          <cell r="J18">
            <v>0.63</v>
          </cell>
        </row>
        <row r="19">
          <cell r="A19">
            <v>17</v>
          </cell>
          <cell r="B19" t="str">
            <v>Hoà Bình</v>
          </cell>
          <cell r="C19">
            <v>0.67</v>
          </cell>
          <cell r="D19">
            <v>0.68</v>
          </cell>
          <cell r="E19">
            <v>0.69</v>
          </cell>
          <cell r="F19">
            <v>0.7</v>
          </cell>
          <cell r="G19">
            <v>0.7</v>
          </cell>
          <cell r="H19">
            <v>0.7</v>
          </cell>
          <cell r="I19">
            <v>0.73</v>
          </cell>
          <cell r="J19">
            <v>0.74</v>
          </cell>
        </row>
        <row r="20">
          <cell r="A20">
            <v>19</v>
          </cell>
          <cell r="B20" t="str">
            <v>Thái Nguyên</v>
          </cell>
          <cell r="C20">
            <v>0.55000000000000004</v>
          </cell>
          <cell r="D20">
            <v>0.56999999999999995</v>
          </cell>
          <cell r="E20">
            <v>0.56999999999999995</v>
          </cell>
          <cell r="F20">
            <v>0.57999999999999996</v>
          </cell>
          <cell r="G20">
            <v>0.57999999999999996</v>
          </cell>
          <cell r="H20">
            <v>0.76</v>
          </cell>
          <cell r="I20">
            <v>0.77</v>
          </cell>
          <cell r="J20">
            <v>0.62</v>
          </cell>
        </row>
        <row r="21">
          <cell r="A21">
            <v>20</v>
          </cell>
          <cell r="B21" t="str">
            <v>Lạng Sơn</v>
          </cell>
          <cell r="C21">
            <v>0.6</v>
          </cell>
          <cell r="D21">
            <v>0.61</v>
          </cell>
          <cell r="E21">
            <v>0.62</v>
          </cell>
          <cell r="F21">
            <v>0.62</v>
          </cell>
          <cell r="G21">
            <v>0.63</v>
          </cell>
          <cell r="H21">
            <v>0.68</v>
          </cell>
          <cell r="I21">
            <v>0.69</v>
          </cell>
          <cell r="J21">
            <v>0.66</v>
          </cell>
        </row>
        <row r="22">
          <cell r="A22">
            <v>22</v>
          </cell>
          <cell r="B22" t="str">
            <v>Quảng Ninh</v>
          </cell>
          <cell r="C22">
            <v>0.74</v>
          </cell>
          <cell r="D22">
            <v>0.75</v>
          </cell>
          <cell r="E22">
            <v>0.76</v>
          </cell>
          <cell r="F22">
            <v>0.77</v>
          </cell>
          <cell r="G22">
            <v>0.77</v>
          </cell>
          <cell r="H22">
            <v>0.78</v>
          </cell>
          <cell r="I22">
            <v>0.78</v>
          </cell>
          <cell r="J22">
            <v>0.8</v>
          </cell>
        </row>
        <row r="23">
          <cell r="A23">
            <v>24</v>
          </cell>
          <cell r="B23" t="str">
            <v>Bắc Giang</v>
          </cell>
          <cell r="C23">
            <v>0.62</v>
          </cell>
          <cell r="D23">
            <v>0.63</v>
          </cell>
          <cell r="E23">
            <v>0.63</v>
          </cell>
          <cell r="F23">
            <v>0.64</v>
          </cell>
          <cell r="G23">
            <v>0.65</v>
          </cell>
          <cell r="H23">
            <v>0.72</v>
          </cell>
          <cell r="I23">
            <v>0.74</v>
          </cell>
          <cell r="J23">
            <v>0.67</v>
          </cell>
        </row>
        <row r="24">
          <cell r="A24">
            <v>25</v>
          </cell>
          <cell r="B24" t="str">
            <v>Phú Thọ</v>
          </cell>
          <cell r="C24">
            <v>0.67</v>
          </cell>
          <cell r="D24">
            <v>0.68</v>
          </cell>
          <cell r="E24">
            <v>0.69</v>
          </cell>
          <cell r="F24">
            <v>0.69</v>
          </cell>
          <cell r="G24">
            <v>0.7</v>
          </cell>
          <cell r="H24">
            <v>0.71</v>
          </cell>
          <cell r="I24">
            <v>0.72</v>
          </cell>
          <cell r="J24">
            <v>0.72</v>
          </cell>
        </row>
        <row r="25">
          <cell r="A25">
            <v>26</v>
          </cell>
          <cell r="B25" t="str">
            <v>Vĩnh Phúc</v>
          </cell>
          <cell r="C25">
            <v>0.73</v>
          </cell>
          <cell r="D25">
            <v>0.73</v>
          </cell>
          <cell r="E25">
            <v>0.74</v>
          </cell>
          <cell r="F25">
            <v>0.75</v>
          </cell>
          <cell r="G25">
            <v>0.75</v>
          </cell>
          <cell r="H25">
            <v>0.76</v>
          </cell>
          <cell r="I25">
            <v>0.78</v>
          </cell>
          <cell r="J25">
            <v>0.78</v>
          </cell>
        </row>
        <row r="26">
          <cell r="A26">
            <v>27</v>
          </cell>
          <cell r="B26" t="str">
            <v>Bắc Ninh</v>
          </cell>
          <cell r="C26">
            <v>0.74</v>
          </cell>
          <cell r="D26">
            <v>0.75</v>
          </cell>
          <cell r="E26">
            <v>0.76</v>
          </cell>
          <cell r="F26">
            <v>0.76</v>
          </cell>
          <cell r="G26">
            <v>0.77</v>
          </cell>
          <cell r="H26">
            <v>0.77</v>
          </cell>
          <cell r="I26">
            <v>0.78</v>
          </cell>
          <cell r="J26">
            <v>0.78</v>
          </cell>
        </row>
        <row r="27">
          <cell r="A27">
            <v>30</v>
          </cell>
          <cell r="B27" t="str">
            <v>Hải Dương</v>
          </cell>
          <cell r="C27">
            <v>0.71</v>
          </cell>
          <cell r="D27">
            <v>0.71</v>
          </cell>
          <cell r="E27">
            <v>0.72</v>
          </cell>
          <cell r="F27">
            <v>0.73</v>
          </cell>
          <cell r="G27">
            <v>0.73</v>
          </cell>
          <cell r="H27">
            <v>0.75</v>
          </cell>
          <cell r="I27">
            <v>0.76</v>
          </cell>
          <cell r="J27">
            <v>0.77</v>
          </cell>
        </row>
        <row r="28">
          <cell r="A28">
            <v>31</v>
          </cell>
          <cell r="B28" t="str">
            <v>Hải Phòng</v>
          </cell>
          <cell r="C28">
            <v>0.75</v>
          </cell>
          <cell r="D28">
            <v>0.76</v>
          </cell>
          <cell r="E28">
            <v>0.77</v>
          </cell>
          <cell r="F28">
            <v>0.78</v>
          </cell>
          <cell r="G28">
            <v>0.78</v>
          </cell>
          <cell r="H28">
            <v>0.8</v>
          </cell>
          <cell r="I28">
            <v>0.81</v>
          </cell>
          <cell r="J28">
            <v>0.81</v>
          </cell>
        </row>
        <row r="29">
          <cell r="A29">
            <v>33</v>
          </cell>
          <cell r="B29" t="str">
            <v>Hưng Yên</v>
          </cell>
          <cell r="C29">
            <v>0.71</v>
          </cell>
          <cell r="D29">
            <v>0.72</v>
          </cell>
          <cell r="E29">
            <v>0.73</v>
          </cell>
          <cell r="F29">
            <v>0.74</v>
          </cell>
          <cell r="G29">
            <v>0.74</v>
          </cell>
          <cell r="H29">
            <v>0.75</v>
          </cell>
          <cell r="I29">
            <v>0.77</v>
          </cell>
          <cell r="J29">
            <v>0.77</v>
          </cell>
        </row>
        <row r="30">
          <cell r="A30">
            <v>34</v>
          </cell>
          <cell r="B30" t="str">
            <v>Thái Bình</v>
          </cell>
          <cell r="C30">
            <v>0.68</v>
          </cell>
          <cell r="D30">
            <v>0.69</v>
          </cell>
          <cell r="E30">
            <v>0.69</v>
          </cell>
          <cell r="F30">
            <v>0.71</v>
          </cell>
          <cell r="G30">
            <v>0.71</v>
          </cell>
          <cell r="H30">
            <v>0.72</v>
          </cell>
          <cell r="I30">
            <v>0.74</v>
          </cell>
          <cell r="J30">
            <v>0.74</v>
          </cell>
        </row>
        <row r="31">
          <cell r="A31">
            <v>35</v>
          </cell>
          <cell r="B31" t="str">
            <v>Hà Nam</v>
          </cell>
          <cell r="C31">
            <v>0.7</v>
          </cell>
          <cell r="D31">
            <v>0.7</v>
          </cell>
          <cell r="E31">
            <v>0.71</v>
          </cell>
          <cell r="F31">
            <v>0.72</v>
          </cell>
          <cell r="G31">
            <v>0.73</v>
          </cell>
          <cell r="H31">
            <v>0.74</v>
          </cell>
          <cell r="I31">
            <v>0.76</v>
          </cell>
          <cell r="J31">
            <v>0.76</v>
          </cell>
        </row>
        <row r="32">
          <cell r="A32">
            <v>36</v>
          </cell>
          <cell r="B32" t="str">
            <v>Nam Định</v>
          </cell>
          <cell r="C32">
            <v>0.66</v>
          </cell>
          <cell r="D32">
            <v>0.67</v>
          </cell>
          <cell r="E32">
            <v>0.68</v>
          </cell>
          <cell r="F32">
            <v>0.69</v>
          </cell>
          <cell r="G32">
            <v>0.69</v>
          </cell>
          <cell r="H32">
            <v>0.7</v>
          </cell>
          <cell r="I32">
            <v>0.71</v>
          </cell>
          <cell r="J32">
            <v>0.71</v>
          </cell>
        </row>
        <row r="33">
          <cell r="A33">
            <v>37</v>
          </cell>
          <cell r="B33" t="str">
            <v>Ninh Bình</v>
          </cell>
          <cell r="C33">
            <v>0.69</v>
          </cell>
          <cell r="D33">
            <v>0.69</v>
          </cell>
          <cell r="E33">
            <v>0.71</v>
          </cell>
          <cell r="F33">
            <v>0.72</v>
          </cell>
          <cell r="G33">
            <v>0.73</v>
          </cell>
          <cell r="H33">
            <v>0.73</v>
          </cell>
          <cell r="I33">
            <v>0.75</v>
          </cell>
          <cell r="J33">
            <v>0.75</v>
          </cell>
        </row>
        <row r="34">
          <cell r="A34">
            <v>38</v>
          </cell>
          <cell r="B34" t="str">
            <v>Thanh Hoá</v>
          </cell>
          <cell r="C34">
            <v>0.66</v>
          </cell>
          <cell r="D34">
            <v>0.67</v>
          </cell>
          <cell r="E34">
            <v>0.68</v>
          </cell>
          <cell r="F34">
            <v>0.69</v>
          </cell>
          <cell r="G34">
            <v>0.7</v>
          </cell>
          <cell r="H34">
            <v>0.71</v>
          </cell>
          <cell r="I34">
            <v>0.73</v>
          </cell>
          <cell r="J34">
            <v>0.73</v>
          </cell>
        </row>
        <row r="35">
          <cell r="A35">
            <v>40</v>
          </cell>
          <cell r="B35" t="str">
            <v>Nghệ An</v>
          </cell>
          <cell r="C35">
            <v>0.67</v>
          </cell>
          <cell r="D35">
            <v>0.68</v>
          </cell>
          <cell r="E35">
            <v>0.68</v>
          </cell>
          <cell r="F35">
            <v>0.69</v>
          </cell>
          <cell r="G35">
            <v>0.7</v>
          </cell>
          <cell r="H35">
            <v>0.7</v>
          </cell>
          <cell r="I35">
            <v>0.71</v>
          </cell>
          <cell r="J35">
            <v>0.73</v>
          </cell>
        </row>
        <row r="36">
          <cell r="A36">
            <v>42</v>
          </cell>
          <cell r="B36" t="str">
            <v>Hà Tĩnh</v>
          </cell>
          <cell r="C36">
            <v>0.68</v>
          </cell>
          <cell r="D36">
            <v>0.69</v>
          </cell>
          <cell r="E36">
            <v>0.7</v>
          </cell>
          <cell r="F36">
            <v>0.71</v>
          </cell>
          <cell r="G36">
            <v>0.71</v>
          </cell>
          <cell r="H36">
            <v>0.72</v>
          </cell>
          <cell r="I36">
            <v>0.73</v>
          </cell>
          <cell r="J36">
            <v>0.73</v>
          </cell>
        </row>
        <row r="37">
          <cell r="A37">
            <v>44</v>
          </cell>
          <cell r="B37" t="str">
            <v>Quảng Bình</v>
          </cell>
          <cell r="C37">
            <v>0.66</v>
          </cell>
          <cell r="D37">
            <v>0.67</v>
          </cell>
          <cell r="E37">
            <v>0.68</v>
          </cell>
          <cell r="F37">
            <v>0.68</v>
          </cell>
          <cell r="G37">
            <v>0.69</v>
          </cell>
          <cell r="H37">
            <v>0.69</v>
          </cell>
          <cell r="I37">
            <v>0.7</v>
          </cell>
          <cell r="J37">
            <v>0.71</v>
          </cell>
        </row>
        <row r="38">
          <cell r="A38">
            <v>45</v>
          </cell>
          <cell r="B38" t="str">
            <v>Quảng Trị</v>
          </cell>
          <cell r="C38">
            <v>0.64</v>
          </cell>
          <cell r="D38">
            <v>0.65</v>
          </cell>
          <cell r="E38">
            <v>0.66</v>
          </cell>
          <cell r="F38">
            <v>0.66</v>
          </cell>
          <cell r="G38">
            <v>0.67</v>
          </cell>
          <cell r="H38">
            <v>0.68</v>
          </cell>
          <cell r="I38">
            <v>0.69</v>
          </cell>
          <cell r="J38">
            <v>0.71</v>
          </cell>
        </row>
        <row r="39">
          <cell r="A39">
            <v>46</v>
          </cell>
          <cell r="B39" t="str">
            <v>Thừa Thiên Huế</v>
          </cell>
          <cell r="C39">
            <v>0.65</v>
          </cell>
          <cell r="D39">
            <v>0.66</v>
          </cell>
          <cell r="E39">
            <v>0.66</v>
          </cell>
          <cell r="F39">
            <v>0.69</v>
          </cell>
          <cell r="G39">
            <v>0.68</v>
          </cell>
          <cell r="H39">
            <v>0.7</v>
          </cell>
          <cell r="I39">
            <v>0.7</v>
          </cell>
          <cell r="J39">
            <v>0.72</v>
          </cell>
        </row>
        <row r="40">
          <cell r="A40">
            <v>48</v>
          </cell>
          <cell r="B40" t="str">
            <v>Đà Nẵng</v>
          </cell>
          <cell r="C40">
            <v>0.76</v>
          </cell>
          <cell r="D40">
            <v>0.77</v>
          </cell>
          <cell r="E40">
            <v>0.77</v>
          </cell>
          <cell r="F40">
            <v>0.79</v>
          </cell>
          <cell r="G40">
            <v>0.78</v>
          </cell>
          <cell r="H40">
            <v>0.79</v>
          </cell>
          <cell r="I40">
            <v>0.8</v>
          </cell>
          <cell r="J40">
            <v>0.8</v>
          </cell>
        </row>
        <row r="41">
          <cell r="A41">
            <v>49</v>
          </cell>
          <cell r="B41" t="str">
            <v>Quảng Nam</v>
          </cell>
          <cell r="C41">
            <v>0.68</v>
          </cell>
          <cell r="D41">
            <v>0.69</v>
          </cell>
          <cell r="E41">
            <v>0.7</v>
          </cell>
          <cell r="F41">
            <v>0.7</v>
          </cell>
          <cell r="G41">
            <v>0.7</v>
          </cell>
          <cell r="H41">
            <v>0.71</v>
          </cell>
          <cell r="I41">
            <v>0.73</v>
          </cell>
          <cell r="J41">
            <v>0.73</v>
          </cell>
        </row>
        <row r="42">
          <cell r="A42">
            <v>51</v>
          </cell>
          <cell r="B42" t="str">
            <v>Quảng Ngãi</v>
          </cell>
          <cell r="C42">
            <v>0.68</v>
          </cell>
          <cell r="D42">
            <v>0.68</v>
          </cell>
          <cell r="E42">
            <v>0.69</v>
          </cell>
          <cell r="F42">
            <v>0.7</v>
          </cell>
          <cell r="G42">
            <v>0.69</v>
          </cell>
          <cell r="H42">
            <v>0.71</v>
          </cell>
          <cell r="I42">
            <v>0.72</v>
          </cell>
          <cell r="J42">
            <v>0.73</v>
          </cell>
        </row>
        <row r="43">
          <cell r="A43">
            <v>52</v>
          </cell>
          <cell r="B43" t="str">
            <v>Bình Định</v>
          </cell>
          <cell r="C43">
            <v>0.66</v>
          </cell>
          <cell r="D43">
            <v>0.68</v>
          </cell>
          <cell r="E43">
            <v>0.68</v>
          </cell>
          <cell r="F43">
            <v>0.69</v>
          </cell>
          <cell r="G43">
            <v>0.7</v>
          </cell>
          <cell r="H43">
            <v>0.71</v>
          </cell>
          <cell r="I43">
            <v>0.72</v>
          </cell>
          <cell r="J43">
            <v>0.73</v>
          </cell>
        </row>
        <row r="44">
          <cell r="A44">
            <v>54</v>
          </cell>
          <cell r="B44" t="str">
            <v>Phú Yên</v>
          </cell>
          <cell r="C44">
            <v>0.66</v>
          </cell>
          <cell r="D44">
            <v>0.66</v>
          </cell>
          <cell r="E44">
            <v>0.67</v>
          </cell>
          <cell r="F44">
            <v>0.68</v>
          </cell>
          <cell r="G44">
            <v>0.68</v>
          </cell>
          <cell r="H44">
            <v>0.69</v>
          </cell>
          <cell r="I44">
            <v>0.7</v>
          </cell>
          <cell r="J44">
            <v>0.71</v>
          </cell>
        </row>
        <row r="45">
          <cell r="A45">
            <v>56</v>
          </cell>
          <cell r="B45" t="str">
            <v>Khánh Hoà</v>
          </cell>
          <cell r="C45">
            <v>0.68</v>
          </cell>
          <cell r="D45">
            <v>0.69</v>
          </cell>
          <cell r="E45">
            <v>0.7</v>
          </cell>
          <cell r="F45">
            <v>0.71</v>
          </cell>
          <cell r="G45">
            <v>0.71</v>
          </cell>
          <cell r="H45">
            <v>0.72</v>
          </cell>
          <cell r="I45">
            <v>0.74</v>
          </cell>
          <cell r="J45">
            <v>0.75</v>
          </cell>
        </row>
        <row r="46">
          <cell r="A46">
            <v>58</v>
          </cell>
          <cell r="B46" t="str">
            <v>Ninh Thuận</v>
          </cell>
          <cell r="C46">
            <v>0.62</v>
          </cell>
          <cell r="D46">
            <v>0.63</v>
          </cell>
          <cell r="E46">
            <v>0.64</v>
          </cell>
          <cell r="F46">
            <v>0.65</v>
          </cell>
          <cell r="G46">
            <v>0.65</v>
          </cell>
          <cell r="H46">
            <v>0.67</v>
          </cell>
          <cell r="I46">
            <v>0.68</v>
          </cell>
          <cell r="J46">
            <v>0.69</v>
          </cell>
        </row>
        <row r="47">
          <cell r="A47">
            <v>60</v>
          </cell>
          <cell r="B47" t="str">
            <v>Bình Thuận</v>
          </cell>
          <cell r="C47">
            <v>0.65</v>
          </cell>
          <cell r="D47">
            <v>0.65</v>
          </cell>
          <cell r="E47">
            <v>0.66</v>
          </cell>
          <cell r="F47">
            <v>0.68</v>
          </cell>
          <cell r="G47">
            <v>0.68</v>
          </cell>
          <cell r="H47">
            <v>0.69</v>
          </cell>
          <cell r="I47">
            <v>0.7</v>
          </cell>
          <cell r="J47">
            <v>0.71</v>
          </cell>
        </row>
        <row r="48">
          <cell r="A48">
            <v>62</v>
          </cell>
          <cell r="B48" t="str">
            <v>Kon Tum</v>
          </cell>
          <cell r="C48">
            <v>0.61</v>
          </cell>
          <cell r="D48">
            <v>0.61</v>
          </cell>
          <cell r="E48">
            <v>0.61</v>
          </cell>
          <cell r="F48">
            <v>0.62</v>
          </cell>
          <cell r="G48">
            <v>0.64</v>
          </cell>
          <cell r="H48">
            <v>0.64</v>
          </cell>
          <cell r="I48">
            <v>0.66</v>
          </cell>
          <cell r="J48">
            <v>0.68</v>
          </cell>
        </row>
        <row r="49">
          <cell r="A49">
            <v>64</v>
          </cell>
          <cell r="B49" t="str">
            <v>Gia Lai</v>
          </cell>
          <cell r="C49">
            <v>0.6</v>
          </cell>
          <cell r="D49">
            <v>0.61</v>
          </cell>
          <cell r="E49">
            <v>0.62</v>
          </cell>
          <cell r="F49">
            <v>0.62</v>
          </cell>
          <cell r="G49">
            <v>0.62</v>
          </cell>
          <cell r="H49">
            <v>0.64</v>
          </cell>
          <cell r="I49">
            <v>0.66</v>
          </cell>
          <cell r="J49">
            <v>0.67</v>
          </cell>
        </row>
        <row r="50">
          <cell r="A50">
            <v>66</v>
          </cell>
          <cell r="B50" t="str">
            <v>Đắk Lắk</v>
          </cell>
          <cell r="C50">
            <v>0.64</v>
          </cell>
          <cell r="D50">
            <v>0.64</v>
          </cell>
          <cell r="E50">
            <v>0.64</v>
          </cell>
          <cell r="F50">
            <v>0.65</v>
          </cell>
          <cell r="G50">
            <v>0.65</v>
          </cell>
          <cell r="H50">
            <v>0.68</v>
          </cell>
          <cell r="I50">
            <v>0.68</v>
          </cell>
          <cell r="J50">
            <v>0.7</v>
          </cell>
        </row>
        <row r="51">
          <cell r="A51">
            <v>67</v>
          </cell>
          <cell r="B51" t="str">
            <v>Đắk Nông</v>
          </cell>
          <cell r="C51">
            <v>0.64</v>
          </cell>
          <cell r="D51">
            <v>0.64</v>
          </cell>
          <cell r="E51">
            <v>0.64</v>
          </cell>
          <cell r="F51">
            <v>0.65</v>
          </cell>
          <cell r="G51">
            <v>0.66</v>
          </cell>
          <cell r="H51">
            <v>0.67</v>
          </cell>
          <cell r="I51">
            <v>0.68</v>
          </cell>
          <cell r="J51">
            <v>0.69</v>
          </cell>
        </row>
        <row r="52">
          <cell r="A52">
            <v>68</v>
          </cell>
          <cell r="B52" t="str">
            <v>Lâm Đồng</v>
          </cell>
          <cell r="C52">
            <v>0.67</v>
          </cell>
          <cell r="D52">
            <v>0.68</v>
          </cell>
          <cell r="E52">
            <v>0.68</v>
          </cell>
          <cell r="F52">
            <v>0.69</v>
          </cell>
          <cell r="G52">
            <v>0.7</v>
          </cell>
          <cell r="H52">
            <v>0.71</v>
          </cell>
          <cell r="I52">
            <v>0.72</v>
          </cell>
          <cell r="J52">
            <v>0.73</v>
          </cell>
        </row>
        <row r="53">
          <cell r="A53">
            <v>70</v>
          </cell>
          <cell r="B53" t="str">
            <v>Bình Phước</v>
          </cell>
          <cell r="C53">
            <v>0.66</v>
          </cell>
          <cell r="D53">
            <v>0.66</v>
          </cell>
          <cell r="E53">
            <v>0.66</v>
          </cell>
          <cell r="F53">
            <v>0.68</v>
          </cell>
          <cell r="G53">
            <v>0.69</v>
          </cell>
          <cell r="H53">
            <v>0.69</v>
          </cell>
          <cell r="I53">
            <v>0.71</v>
          </cell>
          <cell r="J53">
            <v>0.71</v>
          </cell>
        </row>
        <row r="54">
          <cell r="A54">
            <v>72</v>
          </cell>
          <cell r="B54" t="str">
            <v>Tây Ninh</v>
          </cell>
          <cell r="C54">
            <v>0.65</v>
          </cell>
          <cell r="D54">
            <v>0.66</v>
          </cell>
          <cell r="E54">
            <v>0.67</v>
          </cell>
          <cell r="F54">
            <v>0.68</v>
          </cell>
          <cell r="G54">
            <v>0.68</v>
          </cell>
          <cell r="H54">
            <v>0.69</v>
          </cell>
          <cell r="I54">
            <v>0.7</v>
          </cell>
          <cell r="J54">
            <v>0.71</v>
          </cell>
        </row>
        <row r="55">
          <cell r="A55">
            <v>74</v>
          </cell>
          <cell r="B55" t="str">
            <v>Bình Dương</v>
          </cell>
          <cell r="C55">
            <v>0.74</v>
          </cell>
          <cell r="D55">
            <v>0.72</v>
          </cell>
          <cell r="E55">
            <v>0.73</v>
          </cell>
          <cell r="F55">
            <v>0.74</v>
          </cell>
          <cell r="G55">
            <v>0.74</v>
          </cell>
          <cell r="H55">
            <v>0.74</v>
          </cell>
          <cell r="I55">
            <v>0.76</v>
          </cell>
          <cell r="J55">
            <v>0.76</v>
          </cell>
        </row>
        <row r="56">
          <cell r="A56">
            <v>75</v>
          </cell>
          <cell r="B56" t="str">
            <v>Đồng Nai</v>
          </cell>
          <cell r="C56">
            <v>0.73</v>
          </cell>
          <cell r="D56">
            <v>0.74</v>
          </cell>
          <cell r="E56">
            <v>0.74</v>
          </cell>
          <cell r="F56">
            <v>0.75</v>
          </cell>
          <cell r="G56">
            <v>0.75</v>
          </cell>
          <cell r="H56">
            <v>0.76</v>
          </cell>
          <cell r="I56">
            <v>0.77</v>
          </cell>
          <cell r="J56">
            <v>0.78</v>
          </cell>
        </row>
        <row r="57">
          <cell r="A57">
            <v>77</v>
          </cell>
          <cell r="B57" t="str">
            <v>Bà Rịa-Vũng Tàu(***)</v>
          </cell>
          <cell r="C57">
            <v>0.78</v>
          </cell>
          <cell r="D57">
            <v>0.78</v>
          </cell>
          <cell r="E57">
            <v>0.79</v>
          </cell>
          <cell r="F57">
            <v>0.8</v>
          </cell>
          <cell r="G57">
            <v>0.79</v>
          </cell>
          <cell r="H57">
            <v>0.8</v>
          </cell>
          <cell r="I57">
            <v>0.82</v>
          </cell>
          <cell r="J57">
            <v>0.82</v>
          </cell>
        </row>
        <row r="58">
          <cell r="A58">
            <v>79</v>
          </cell>
          <cell r="B58" t="str">
            <v>TP Hồ Chí Minh</v>
          </cell>
          <cell r="C58">
            <v>0.78</v>
          </cell>
          <cell r="D58">
            <v>0.78</v>
          </cell>
          <cell r="E58">
            <v>0.79</v>
          </cell>
          <cell r="F58">
            <v>0.8</v>
          </cell>
          <cell r="G58">
            <v>0.79</v>
          </cell>
          <cell r="H58">
            <v>0.8</v>
          </cell>
          <cell r="I58">
            <v>0.81</v>
          </cell>
          <cell r="J58">
            <v>0.82</v>
          </cell>
        </row>
        <row r="59">
          <cell r="A59">
            <v>80</v>
          </cell>
          <cell r="B59" t="str">
            <v>Long An</v>
          </cell>
          <cell r="C59">
            <v>0.67</v>
          </cell>
          <cell r="D59">
            <v>0.68</v>
          </cell>
          <cell r="E59">
            <v>0.69</v>
          </cell>
          <cell r="F59">
            <v>0.7</v>
          </cell>
          <cell r="G59">
            <v>0.7</v>
          </cell>
          <cell r="H59">
            <v>0.71</v>
          </cell>
          <cell r="I59">
            <v>0.72</v>
          </cell>
          <cell r="J59">
            <v>0.73</v>
          </cell>
        </row>
        <row r="60">
          <cell r="A60">
            <v>82</v>
          </cell>
          <cell r="B60" t="str">
            <v>Tiền Giang</v>
          </cell>
          <cell r="C60">
            <v>0.66</v>
          </cell>
          <cell r="D60">
            <v>0.67</v>
          </cell>
          <cell r="E60">
            <v>0.67</v>
          </cell>
          <cell r="F60">
            <v>0.68</v>
          </cell>
          <cell r="G60">
            <v>0.68</v>
          </cell>
          <cell r="H60">
            <v>0.69</v>
          </cell>
          <cell r="I60">
            <v>0.7</v>
          </cell>
          <cell r="J60">
            <v>0.7</v>
          </cell>
        </row>
        <row r="61">
          <cell r="A61">
            <v>83</v>
          </cell>
          <cell r="B61" t="str">
            <v>Bến Tre</v>
          </cell>
          <cell r="C61">
            <v>0.64</v>
          </cell>
          <cell r="D61">
            <v>0.64</v>
          </cell>
          <cell r="E61">
            <v>0.65</v>
          </cell>
          <cell r="F61">
            <v>0.66</v>
          </cell>
          <cell r="G61">
            <v>0.66</v>
          </cell>
          <cell r="H61">
            <v>0.67</v>
          </cell>
          <cell r="I61">
            <v>0.68</v>
          </cell>
          <cell r="J61">
            <v>0.69</v>
          </cell>
        </row>
        <row r="62">
          <cell r="A62">
            <v>84</v>
          </cell>
          <cell r="B62" t="str">
            <v>Trà Vinh</v>
          </cell>
          <cell r="C62">
            <v>0.64</v>
          </cell>
          <cell r="D62">
            <v>0.65</v>
          </cell>
          <cell r="E62">
            <v>0.66</v>
          </cell>
          <cell r="F62">
            <v>0.67</v>
          </cell>
          <cell r="G62">
            <v>0.67</v>
          </cell>
          <cell r="H62">
            <v>0.68</v>
          </cell>
          <cell r="I62">
            <v>0.69</v>
          </cell>
          <cell r="J62">
            <v>0.7</v>
          </cell>
        </row>
        <row r="63">
          <cell r="A63">
            <v>86</v>
          </cell>
          <cell r="B63" t="str">
            <v>Vĩnh Long</v>
          </cell>
          <cell r="C63">
            <v>0.66</v>
          </cell>
          <cell r="D63">
            <v>0.68</v>
          </cell>
          <cell r="E63">
            <v>0.68</v>
          </cell>
          <cell r="F63">
            <v>0.69</v>
          </cell>
          <cell r="G63">
            <v>0.7</v>
          </cell>
          <cell r="H63">
            <v>0.7</v>
          </cell>
          <cell r="I63">
            <v>0.71</v>
          </cell>
          <cell r="J63">
            <v>0.73</v>
          </cell>
        </row>
        <row r="64">
          <cell r="A64">
            <v>87</v>
          </cell>
          <cell r="B64" t="str">
            <v>Đồng Tháp</v>
          </cell>
          <cell r="C64">
            <v>0.65</v>
          </cell>
          <cell r="D64">
            <v>0.65</v>
          </cell>
          <cell r="E64">
            <v>0.65</v>
          </cell>
          <cell r="F64">
            <v>0.67</v>
          </cell>
          <cell r="G64">
            <v>0.67</v>
          </cell>
          <cell r="H64">
            <v>0.68</v>
          </cell>
          <cell r="I64">
            <v>0.69</v>
          </cell>
          <cell r="J64">
            <v>0.7</v>
          </cell>
        </row>
        <row r="65">
          <cell r="A65">
            <v>89</v>
          </cell>
          <cell r="B65" t="str">
            <v>An Giang</v>
          </cell>
          <cell r="C65">
            <v>0.62</v>
          </cell>
          <cell r="D65">
            <v>0.63</v>
          </cell>
          <cell r="E65">
            <v>0.64</v>
          </cell>
          <cell r="F65">
            <v>0.64</v>
          </cell>
          <cell r="G65">
            <v>0.65</v>
          </cell>
          <cell r="H65">
            <v>0.66</v>
          </cell>
          <cell r="I65">
            <v>0.66</v>
          </cell>
          <cell r="J65">
            <v>0.67</v>
          </cell>
        </row>
        <row r="66">
          <cell r="A66">
            <v>91</v>
          </cell>
          <cell r="B66" t="str">
            <v>Kiên Giang</v>
          </cell>
          <cell r="C66">
            <v>0.64</v>
          </cell>
          <cell r="D66">
            <v>0.64</v>
          </cell>
          <cell r="E66">
            <v>0.65</v>
          </cell>
          <cell r="F66">
            <v>0.66</v>
          </cell>
          <cell r="G66">
            <v>0.66</v>
          </cell>
          <cell r="H66">
            <v>0.67</v>
          </cell>
          <cell r="I66">
            <v>0.68</v>
          </cell>
          <cell r="J66">
            <v>0.69</v>
          </cell>
        </row>
        <row r="67">
          <cell r="A67">
            <v>92</v>
          </cell>
          <cell r="B67" t="str">
            <v>Cần Thơ</v>
          </cell>
          <cell r="C67">
            <v>0.69</v>
          </cell>
          <cell r="D67">
            <v>0.7</v>
          </cell>
          <cell r="E67">
            <v>0.7</v>
          </cell>
          <cell r="F67">
            <v>0.72</v>
          </cell>
          <cell r="G67">
            <v>0.72</v>
          </cell>
          <cell r="H67">
            <v>0.72</v>
          </cell>
          <cell r="I67">
            <v>0.74</v>
          </cell>
          <cell r="J67">
            <v>0.74</v>
          </cell>
        </row>
        <row r="68">
          <cell r="A68">
            <v>93</v>
          </cell>
          <cell r="B68" t="str">
            <v>Hậu Giang</v>
          </cell>
          <cell r="C68">
            <v>0.64</v>
          </cell>
          <cell r="D68">
            <v>0.65</v>
          </cell>
          <cell r="E68">
            <v>0.65</v>
          </cell>
          <cell r="F68">
            <v>0.66</v>
          </cell>
          <cell r="G68">
            <v>0.67</v>
          </cell>
          <cell r="H68">
            <v>0.69</v>
          </cell>
          <cell r="I68">
            <v>0.69</v>
          </cell>
          <cell r="J68">
            <v>0.71</v>
          </cell>
        </row>
        <row r="69">
          <cell r="A69">
            <v>94</v>
          </cell>
          <cell r="B69" t="str">
            <v>Sóc Trăng</v>
          </cell>
          <cell r="C69">
            <v>0.61</v>
          </cell>
          <cell r="D69">
            <v>0.63</v>
          </cell>
          <cell r="E69">
            <v>0.64</v>
          </cell>
          <cell r="F69">
            <v>0.64</v>
          </cell>
          <cell r="G69">
            <v>0.65</v>
          </cell>
          <cell r="H69">
            <v>0.65</v>
          </cell>
          <cell r="I69">
            <v>0.67</v>
          </cell>
          <cell r="J69">
            <v>0.67</v>
          </cell>
        </row>
        <row r="70">
          <cell r="A70">
            <v>95</v>
          </cell>
          <cell r="B70" t="str">
            <v>Bạc Liêu</v>
          </cell>
          <cell r="C70">
            <v>0.62</v>
          </cell>
          <cell r="D70">
            <v>0.64</v>
          </cell>
          <cell r="E70">
            <v>0.64</v>
          </cell>
          <cell r="F70">
            <v>0.65</v>
          </cell>
          <cell r="G70">
            <v>0.65</v>
          </cell>
          <cell r="H70">
            <v>0.66</v>
          </cell>
          <cell r="I70">
            <v>0.67</v>
          </cell>
          <cell r="J70">
            <v>0.68</v>
          </cell>
        </row>
        <row r="71">
          <cell r="A71">
            <v>96</v>
          </cell>
          <cell r="B71" t="str">
            <v>Cà Mau</v>
          </cell>
          <cell r="C71">
            <v>0.64</v>
          </cell>
          <cell r="D71">
            <v>0.65</v>
          </cell>
          <cell r="E71">
            <v>0.66</v>
          </cell>
          <cell r="F71">
            <v>0.66</v>
          </cell>
          <cell r="G71">
            <v>0.67</v>
          </cell>
          <cell r="H71">
            <v>0.67</v>
          </cell>
          <cell r="I71">
            <v>0.69</v>
          </cell>
          <cell r="J71">
            <v>0.7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10">
          <cell r="A10" t="str">
            <v>01</v>
          </cell>
          <cell r="B10" t="str">
            <v>Hà Nội</v>
          </cell>
          <cell r="C10">
            <v>942001</v>
          </cell>
          <cell r="D10">
            <v>825076</v>
          </cell>
          <cell r="E10">
            <v>911094</v>
          </cell>
          <cell r="F10">
            <v>824226</v>
          </cell>
          <cell r="G10">
            <v>923028</v>
          </cell>
          <cell r="H10">
            <v>855464</v>
          </cell>
          <cell r="I10">
            <v>1076395</v>
          </cell>
          <cell r="J10">
            <v>947390</v>
          </cell>
          <cell r="K10">
            <v>1115379</v>
          </cell>
          <cell r="L10">
            <v>1016688</v>
          </cell>
          <cell r="M10">
            <v>1097539</v>
          </cell>
          <cell r="N10">
            <v>972338</v>
          </cell>
          <cell r="O10">
            <v>1127334</v>
          </cell>
          <cell r="P10">
            <v>967202</v>
          </cell>
          <cell r="Q10">
            <v>1072441</v>
          </cell>
          <cell r="R10">
            <v>978809</v>
          </cell>
        </row>
        <row r="11">
          <cell r="A11" t="str">
            <v>02</v>
          </cell>
          <cell r="B11" t="str">
            <v>Hà Giang</v>
          </cell>
          <cell r="C11">
            <v>137267</v>
          </cell>
          <cell r="D11">
            <v>129956</v>
          </cell>
          <cell r="E11">
            <v>141279</v>
          </cell>
          <cell r="F11">
            <v>132783</v>
          </cell>
          <cell r="G11">
            <v>148036</v>
          </cell>
          <cell r="H11">
            <v>134877</v>
          </cell>
          <cell r="I11">
            <v>144293</v>
          </cell>
          <cell r="J11">
            <v>137406</v>
          </cell>
          <cell r="K11">
            <v>141265</v>
          </cell>
          <cell r="L11">
            <v>136415</v>
          </cell>
          <cell r="M11">
            <v>149638</v>
          </cell>
          <cell r="N11">
            <v>143785</v>
          </cell>
          <cell r="O11">
            <v>153180</v>
          </cell>
          <cell r="P11">
            <v>141520</v>
          </cell>
          <cell r="Q11">
            <v>151426</v>
          </cell>
          <cell r="R11">
            <v>147303</v>
          </cell>
        </row>
        <row r="12">
          <cell r="A12" t="str">
            <v>04</v>
          </cell>
          <cell r="B12" t="str">
            <v>Cao Bằng</v>
          </cell>
          <cell r="C12">
            <v>68678</v>
          </cell>
          <cell r="D12">
            <v>67747</v>
          </cell>
          <cell r="E12">
            <v>70014</v>
          </cell>
          <cell r="F12">
            <v>68141</v>
          </cell>
          <cell r="G12">
            <v>72395</v>
          </cell>
          <cell r="H12">
            <v>68528</v>
          </cell>
          <cell r="I12">
            <v>70888</v>
          </cell>
          <cell r="J12">
            <v>68324</v>
          </cell>
          <cell r="K12">
            <v>69611</v>
          </cell>
          <cell r="L12">
            <v>67154</v>
          </cell>
          <cell r="M12">
            <v>73997</v>
          </cell>
          <cell r="N12">
            <v>68063</v>
          </cell>
          <cell r="O12">
            <v>76061</v>
          </cell>
          <cell r="P12">
            <v>70211</v>
          </cell>
          <cell r="Q12">
            <v>75927</v>
          </cell>
          <cell r="R12">
            <v>73799</v>
          </cell>
        </row>
        <row r="13">
          <cell r="A13">
            <v>6</v>
          </cell>
          <cell r="B13" t="str">
            <v>Bắc Kạn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</row>
        <row r="14">
          <cell r="A14" t="str">
            <v>08</v>
          </cell>
          <cell r="B14" t="str">
            <v>Tuyên Quang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>
            <v>112868</v>
          </cell>
          <cell r="R14">
            <v>104895</v>
          </cell>
        </row>
        <row r="15">
          <cell r="A15">
            <v>10</v>
          </cell>
          <cell r="B15" t="str">
            <v>Lào Cai</v>
          </cell>
          <cell r="C15">
            <v>104562</v>
          </cell>
          <cell r="D15">
            <v>94651</v>
          </cell>
          <cell r="E15">
            <v>109043</v>
          </cell>
          <cell r="F15">
            <v>97703</v>
          </cell>
          <cell r="G15">
            <v>112833</v>
          </cell>
          <cell r="H15">
            <v>102992</v>
          </cell>
          <cell r="I15">
            <v>118976</v>
          </cell>
          <cell r="J15">
            <v>108903</v>
          </cell>
          <cell r="K15">
            <v>115854</v>
          </cell>
          <cell r="L15">
            <v>108883</v>
          </cell>
          <cell r="M15">
            <v>121778</v>
          </cell>
          <cell r="N15">
            <v>107556</v>
          </cell>
          <cell r="O15">
            <v>119987</v>
          </cell>
          <cell r="P15">
            <v>107384</v>
          </cell>
          <cell r="Q15">
            <v>122265</v>
          </cell>
          <cell r="R15">
            <v>110058</v>
          </cell>
        </row>
        <row r="16">
          <cell r="A16">
            <v>11</v>
          </cell>
          <cell r="B16" t="str">
            <v>Điện Biên</v>
          </cell>
          <cell r="C16">
            <v>96844</v>
          </cell>
          <cell r="D16">
            <v>89754</v>
          </cell>
          <cell r="E16">
            <v>101188</v>
          </cell>
          <cell r="F16">
            <v>94715</v>
          </cell>
          <cell r="G16">
            <v>100321</v>
          </cell>
          <cell r="H16">
            <v>97678</v>
          </cell>
          <cell r="I16">
            <v>106219</v>
          </cell>
          <cell r="J16">
            <v>99436</v>
          </cell>
          <cell r="K16">
            <v>101426</v>
          </cell>
          <cell r="L16">
            <v>98316</v>
          </cell>
          <cell r="M16">
            <v>108337</v>
          </cell>
          <cell r="N16">
            <v>103180</v>
          </cell>
          <cell r="O16">
            <v>110758</v>
          </cell>
          <cell r="P16">
            <v>99516</v>
          </cell>
          <cell r="Q16">
            <v>108799</v>
          </cell>
          <cell r="R16">
            <v>101925</v>
          </cell>
        </row>
        <row r="17">
          <cell r="A17">
            <v>12</v>
          </cell>
          <cell r="B17" t="str">
            <v>Lai Châu</v>
          </cell>
          <cell r="C17">
            <v>79793</v>
          </cell>
          <cell r="D17">
            <v>75215</v>
          </cell>
          <cell r="E17">
            <v>85887</v>
          </cell>
          <cell r="F17">
            <v>75810</v>
          </cell>
          <cell r="G17">
            <v>85920</v>
          </cell>
          <cell r="H17">
            <v>78329</v>
          </cell>
          <cell r="I17">
            <v>84758</v>
          </cell>
          <cell r="J17">
            <v>79880</v>
          </cell>
          <cell r="K17">
            <v>82752</v>
          </cell>
          <cell r="L17">
            <v>75957</v>
          </cell>
          <cell r="M17">
            <v>84081</v>
          </cell>
          <cell r="N17">
            <v>74386</v>
          </cell>
          <cell r="O17">
            <v>85080</v>
          </cell>
          <cell r="P17">
            <v>78947</v>
          </cell>
          <cell r="Q17">
            <v>86221</v>
          </cell>
          <cell r="R17">
            <v>80037</v>
          </cell>
        </row>
        <row r="18">
          <cell r="A18">
            <v>14</v>
          </cell>
          <cell r="B18" t="str">
            <v>Sơn La</v>
          </cell>
          <cell r="C18">
            <v>198199</v>
          </cell>
          <cell r="D18">
            <v>178281</v>
          </cell>
          <cell r="E18">
            <v>197463</v>
          </cell>
          <cell r="F18">
            <v>182282</v>
          </cell>
          <cell r="G18">
            <v>204692</v>
          </cell>
          <cell r="H18">
            <v>186976</v>
          </cell>
          <cell r="I18">
            <v>206339</v>
          </cell>
          <cell r="J18">
            <v>189636</v>
          </cell>
          <cell r="K18">
            <v>200765</v>
          </cell>
          <cell r="L18">
            <v>181031</v>
          </cell>
          <cell r="M18">
            <v>209832</v>
          </cell>
          <cell r="N18">
            <v>185463</v>
          </cell>
          <cell r="O18">
            <v>205902</v>
          </cell>
          <cell r="P18">
            <v>185337</v>
          </cell>
          <cell r="Q18">
            <v>206440</v>
          </cell>
          <cell r="R18">
            <v>192913</v>
          </cell>
        </row>
        <row r="19">
          <cell r="A19">
            <v>15</v>
          </cell>
          <cell r="B19" t="str">
            <v>Yên Bái</v>
          </cell>
          <cell r="C19">
            <v>116877</v>
          </cell>
          <cell r="D19">
            <v>105803</v>
          </cell>
          <cell r="E19">
            <v>114871</v>
          </cell>
          <cell r="F19">
            <v>105545</v>
          </cell>
          <cell r="G19">
            <v>118249</v>
          </cell>
          <cell r="H19">
            <v>109036</v>
          </cell>
          <cell r="I19">
            <v>121529</v>
          </cell>
          <cell r="J19">
            <v>112625</v>
          </cell>
          <cell r="K19">
            <v>122887</v>
          </cell>
          <cell r="L19">
            <v>108703</v>
          </cell>
          <cell r="M19">
            <v>125789</v>
          </cell>
          <cell r="N19">
            <v>111711</v>
          </cell>
          <cell r="O19">
            <v>121780</v>
          </cell>
          <cell r="P19">
            <v>119078</v>
          </cell>
          <cell r="Q19">
            <v>128602</v>
          </cell>
          <cell r="R19">
            <v>114846</v>
          </cell>
        </row>
        <row r="20">
          <cell r="A20">
            <v>17</v>
          </cell>
          <cell r="B20" t="str">
            <v>Hoà Bình</v>
          </cell>
          <cell r="C20">
            <v>112430</v>
          </cell>
          <cell r="D20">
            <v>102704</v>
          </cell>
          <cell r="E20">
            <v>110348</v>
          </cell>
          <cell r="F20">
            <v>104780</v>
          </cell>
          <cell r="G20">
            <v>114044</v>
          </cell>
          <cell r="H20">
            <v>103410</v>
          </cell>
          <cell r="I20">
            <v>115574</v>
          </cell>
          <cell r="J20">
            <v>107281</v>
          </cell>
          <cell r="K20">
            <v>112782</v>
          </cell>
          <cell r="L20">
            <v>104190</v>
          </cell>
          <cell r="M20">
            <v>114700</v>
          </cell>
          <cell r="N20">
            <v>107140</v>
          </cell>
          <cell r="O20">
            <v>116034</v>
          </cell>
          <cell r="P20">
            <v>106148</v>
          </cell>
          <cell r="Q20">
            <v>123218</v>
          </cell>
          <cell r="R20">
            <v>108383</v>
          </cell>
        </row>
        <row r="21">
          <cell r="A21">
            <v>19</v>
          </cell>
          <cell r="B21" t="str">
            <v>Thái Nguyên</v>
          </cell>
          <cell r="C21">
            <v>153285</v>
          </cell>
          <cell r="D21">
            <v>141824</v>
          </cell>
          <cell r="E21">
            <v>161054</v>
          </cell>
          <cell r="F21">
            <v>143206</v>
          </cell>
          <cell r="G21">
            <v>163587</v>
          </cell>
          <cell r="H21">
            <v>150526</v>
          </cell>
          <cell r="I21">
            <v>164024</v>
          </cell>
          <cell r="J21">
            <v>151227</v>
          </cell>
          <cell r="K21">
            <v>171972</v>
          </cell>
          <cell r="L21">
            <v>156973</v>
          </cell>
          <cell r="M21">
            <v>170438</v>
          </cell>
          <cell r="N21">
            <v>162437</v>
          </cell>
          <cell r="O21">
            <v>185567</v>
          </cell>
          <cell r="P21">
            <v>171827</v>
          </cell>
          <cell r="Q21">
            <v>186369</v>
          </cell>
          <cell r="R21">
            <v>168063</v>
          </cell>
        </row>
        <row r="22">
          <cell r="A22">
            <v>20</v>
          </cell>
          <cell r="B22" t="str">
            <v>Lạng Sơn</v>
          </cell>
          <cell r="C22">
            <v>95139</v>
          </cell>
          <cell r="D22">
            <v>86297</v>
          </cell>
          <cell r="E22">
            <v>99102</v>
          </cell>
          <cell r="F22">
            <v>86596</v>
          </cell>
          <cell r="G22">
            <v>103463</v>
          </cell>
          <cell r="H22">
            <v>90867</v>
          </cell>
          <cell r="I22">
            <v>102848</v>
          </cell>
          <cell r="J22">
            <v>93312</v>
          </cell>
          <cell r="K22">
            <v>104497</v>
          </cell>
          <cell r="L22">
            <v>92870</v>
          </cell>
          <cell r="M22">
            <v>106186</v>
          </cell>
          <cell r="N22">
            <v>94229</v>
          </cell>
          <cell r="O22">
            <v>108603</v>
          </cell>
          <cell r="P22">
            <v>96833</v>
          </cell>
          <cell r="Q22">
            <v>110800</v>
          </cell>
          <cell r="R22">
            <v>103885</v>
          </cell>
        </row>
        <row r="23">
          <cell r="A23">
            <v>22</v>
          </cell>
          <cell r="B23" t="str">
            <v>Quảng Ninh</v>
          </cell>
          <cell r="C23">
            <v>149220</v>
          </cell>
          <cell r="D23">
            <v>141766</v>
          </cell>
          <cell r="E23">
            <v>150337</v>
          </cell>
          <cell r="F23">
            <v>141864</v>
          </cell>
          <cell r="G23">
            <v>156799</v>
          </cell>
          <cell r="H23">
            <v>147287</v>
          </cell>
          <cell r="I23">
            <v>174346</v>
          </cell>
          <cell r="J23">
            <v>159339</v>
          </cell>
          <cell r="K23">
            <v>174048</v>
          </cell>
          <cell r="L23">
            <v>159835</v>
          </cell>
          <cell r="M23">
            <v>173854</v>
          </cell>
          <cell r="N23">
            <v>155263</v>
          </cell>
          <cell r="O23">
            <v>181518</v>
          </cell>
          <cell r="P23">
            <v>164887</v>
          </cell>
          <cell r="Q23">
            <v>177196</v>
          </cell>
          <cell r="R23">
            <v>160816</v>
          </cell>
        </row>
        <row r="24">
          <cell r="A24">
            <v>24</v>
          </cell>
          <cell r="B24" t="str">
            <v>Bắc Giang</v>
          </cell>
          <cell r="C24">
            <v>219652</v>
          </cell>
          <cell r="D24">
            <v>191141</v>
          </cell>
          <cell r="E24">
            <v>220312</v>
          </cell>
          <cell r="F24">
            <v>199808</v>
          </cell>
          <cell r="G24">
            <v>220489</v>
          </cell>
          <cell r="H24">
            <v>185976</v>
          </cell>
          <cell r="I24">
            <v>249457</v>
          </cell>
          <cell r="J24">
            <v>216860</v>
          </cell>
          <cell r="K24">
            <v>253141</v>
          </cell>
          <cell r="L24">
            <v>214856</v>
          </cell>
          <cell r="M24">
            <v>252341</v>
          </cell>
          <cell r="N24">
            <v>225710</v>
          </cell>
          <cell r="O24">
            <v>271924</v>
          </cell>
          <cell r="P24">
            <v>233417</v>
          </cell>
          <cell r="Q24">
            <v>262657</v>
          </cell>
          <cell r="R24">
            <v>240471</v>
          </cell>
        </row>
        <row r="25">
          <cell r="A25">
            <v>25</v>
          </cell>
          <cell r="B25" t="str">
            <v>Phú Thọ</v>
          </cell>
          <cell r="C25">
            <v>177767</v>
          </cell>
          <cell r="D25">
            <v>160576</v>
          </cell>
          <cell r="E25">
            <v>181535</v>
          </cell>
          <cell r="F25">
            <v>166203</v>
          </cell>
          <cell r="G25">
            <v>188312</v>
          </cell>
          <cell r="H25">
            <v>165044</v>
          </cell>
          <cell r="I25">
            <v>199655</v>
          </cell>
          <cell r="J25">
            <v>179453</v>
          </cell>
          <cell r="K25">
            <v>206415</v>
          </cell>
          <cell r="L25">
            <v>182190</v>
          </cell>
          <cell r="M25">
            <v>209053</v>
          </cell>
          <cell r="N25">
            <v>179739</v>
          </cell>
          <cell r="O25">
            <v>219253</v>
          </cell>
          <cell r="P25">
            <v>184838</v>
          </cell>
          <cell r="Q25">
            <v>213661</v>
          </cell>
          <cell r="R25">
            <v>191575</v>
          </cell>
        </row>
        <row r="26">
          <cell r="A26">
            <v>26</v>
          </cell>
          <cell r="B26" t="str">
            <v>Vĩnh Phúc</v>
          </cell>
          <cell r="C26">
            <v>145448</v>
          </cell>
          <cell r="D26">
            <v>127037</v>
          </cell>
          <cell r="E26">
            <v>149694</v>
          </cell>
          <cell r="F26">
            <v>131661</v>
          </cell>
          <cell r="G26">
            <v>156079</v>
          </cell>
          <cell r="H26">
            <v>134931</v>
          </cell>
          <cell r="I26">
            <v>169378</v>
          </cell>
          <cell r="J26">
            <v>148605</v>
          </cell>
          <cell r="K26">
            <v>164776</v>
          </cell>
          <cell r="L26">
            <v>149271</v>
          </cell>
          <cell r="M26">
            <v>173554</v>
          </cell>
          <cell r="N26">
            <v>153016</v>
          </cell>
          <cell r="O26">
            <v>178876</v>
          </cell>
          <cell r="P26">
            <v>150371</v>
          </cell>
          <cell r="Q26">
            <v>172222</v>
          </cell>
          <cell r="R26">
            <v>159396</v>
          </cell>
        </row>
        <row r="27">
          <cell r="A27">
            <v>27</v>
          </cell>
          <cell r="B27" t="str">
            <v>Bắc Ninh</v>
          </cell>
          <cell r="C27">
            <v>159972</v>
          </cell>
          <cell r="D27">
            <v>139046</v>
          </cell>
          <cell r="E27">
            <v>166549</v>
          </cell>
          <cell r="F27">
            <v>139912</v>
          </cell>
          <cell r="G27">
            <v>172938</v>
          </cell>
          <cell r="H27">
            <v>147469</v>
          </cell>
          <cell r="I27">
            <v>181028</v>
          </cell>
          <cell r="J27">
            <v>153546</v>
          </cell>
          <cell r="K27">
            <v>189620</v>
          </cell>
          <cell r="L27">
            <v>169142</v>
          </cell>
          <cell r="M27">
            <v>201310</v>
          </cell>
          <cell r="N27">
            <v>164743</v>
          </cell>
          <cell r="O27">
            <v>207976</v>
          </cell>
          <cell r="P27">
            <v>179009</v>
          </cell>
          <cell r="Q27">
            <v>212264</v>
          </cell>
          <cell r="R27">
            <v>186290</v>
          </cell>
        </row>
        <row r="28">
          <cell r="A28">
            <v>30</v>
          </cell>
          <cell r="B28" t="str">
            <v>Hải Dương</v>
          </cell>
          <cell r="C28">
            <v>201131</v>
          </cell>
          <cell r="D28">
            <v>180542</v>
          </cell>
          <cell r="E28">
            <v>205302</v>
          </cell>
          <cell r="F28">
            <v>175806</v>
          </cell>
          <cell r="G28">
            <v>209645</v>
          </cell>
          <cell r="H28">
            <v>179931</v>
          </cell>
          <cell r="I28">
            <v>244993</v>
          </cell>
          <cell r="J28">
            <v>212315</v>
          </cell>
          <cell r="K28">
            <v>254599</v>
          </cell>
          <cell r="L28">
            <v>214520</v>
          </cell>
          <cell r="M28">
            <v>258448</v>
          </cell>
          <cell r="N28">
            <v>218520</v>
          </cell>
          <cell r="O28">
            <v>264091</v>
          </cell>
          <cell r="P28">
            <v>217743</v>
          </cell>
          <cell r="Q28">
            <v>248060</v>
          </cell>
          <cell r="R28">
            <v>221403</v>
          </cell>
        </row>
        <row r="29">
          <cell r="A29">
            <v>31</v>
          </cell>
          <cell r="B29" t="str">
            <v>Hải Phòng</v>
          </cell>
          <cell r="C29">
            <v>235185</v>
          </cell>
          <cell r="D29">
            <v>227465</v>
          </cell>
          <cell r="E29">
            <v>241966</v>
          </cell>
          <cell r="F29">
            <v>229345</v>
          </cell>
          <cell r="G29">
            <v>246951</v>
          </cell>
          <cell r="H29">
            <v>227639</v>
          </cell>
          <cell r="I29">
            <v>255497</v>
          </cell>
          <cell r="J29">
            <v>232376</v>
          </cell>
          <cell r="K29">
            <v>256224</v>
          </cell>
          <cell r="L29">
            <v>227440</v>
          </cell>
          <cell r="M29">
            <v>257701</v>
          </cell>
          <cell r="N29">
            <v>236582</v>
          </cell>
          <cell r="O29">
            <v>273275</v>
          </cell>
          <cell r="P29">
            <v>237791</v>
          </cell>
          <cell r="Q29">
            <v>250252</v>
          </cell>
          <cell r="R29">
            <v>240009</v>
          </cell>
        </row>
        <row r="30">
          <cell r="A30">
            <v>33</v>
          </cell>
          <cell r="B30" t="str">
            <v>Hưng Yên</v>
          </cell>
          <cell r="C30">
            <v>141900</v>
          </cell>
          <cell r="D30">
            <v>122409</v>
          </cell>
          <cell r="E30">
            <v>138254</v>
          </cell>
          <cell r="F30">
            <v>119848</v>
          </cell>
          <cell r="G30">
            <v>147736</v>
          </cell>
          <cell r="H30">
            <v>126254</v>
          </cell>
          <cell r="I30">
            <v>168089</v>
          </cell>
          <cell r="J30">
            <v>142782</v>
          </cell>
          <cell r="K30">
            <v>165400</v>
          </cell>
          <cell r="L30">
            <v>139077</v>
          </cell>
          <cell r="M30">
            <v>178451</v>
          </cell>
          <cell r="N30">
            <v>143076</v>
          </cell>
          <cell r="O30">
            <v>168243</v>
          </cell>
          <cell r="P30">
            <v>142145</v>
          </cell>
          <cell r="Q30">
            <v>175338</v>
          </cell>
          <cell r="R30">
            <v>154766</v>
          </cell>
        </row>
        <row r="31">
          <cell r="A31">
            <v>34</v>
          </cell>
          <cell r="B31" t="str">
            <v>Thái Bình</v>
          </cell>
          <cell r="C31">
            <v>196323</v>
          </cell>
          <cell r="D31">
            <v>167753</v>
          </cell>
          <cell r="E31">
            <v>189981</v>
          </cell>
          <cell r="F31">
            <v>169509</v>
          </cell>
          <cell r="G31">
            <v>209092</v>
          </cell>
          <cell r="H31">
            <v>169245</v>
          </cell>
          <cell r="I31">
            <v>217382</v>
          </cell>
          <cell r="J31">
            <v>198529</v>
          </cell>
          <cell r="K31">
            <v>215620</v>
          </cell>
          <cell r="L31">
            <v>188175</v>
          </cell>
          <cell r="M31">
            <v>205806</v>
          </cell>
          <cell r="N31">
            <v>202295</v>
          </cell>
          <cell r="O31">
            <v>224866</v>
          </cell>
          <cell r="P31">
            <v>197104</v>
          </cell>
          <cell r="Q31">
            <v>217644</v>
          </cell>
          <cell r="R31">
            <v>200900</v>
          </cell>
        </row>
        <row r="32">
          <cell r="A32">
            <v>35</v>
          </cell>
          <cell r="B32" t="str">
            <v>Hà Nam</v>
          </cell>
          <cell r="C32">
            <v>94632</v>
          </cell>
          <cell r="D32">
            <v>82329</v>
          </cell>
          <cell r="E32">
            <v>91551</v>
          </cell>
          <cell r="F32">
            <v>84514</v>
          </cell>
          <cell r="G32">
            <v>94623</v>
          </cell>
          <cell r="H32">
            <v>87651</v>
          </cell>
          <cell r="I32">
            <v>108953</v>
          </cell>
          <cell r="J32">
            <v>99144</v>
          </cell>
          <cell r="K32">
            <v>108481</v>
          </cell>
          <cell r="L32">
            <v>100149</v>
          </cell>
          <cell r="M32">
            <v>106203</v>
          </cell>
          <cell r="N32">
            <v>99352</v>
          </cell>
          <cell r="O32">
            <v>107521</v>
          </cell>
          <cell r="P32">
            <v>100088</v>
          </cell>
          <cell r="Q32">
            <v>106657</v>
          </cell>
          <cell r="R32">
            <v>105340</v>
          </cell>
        </row>
        <row r="33">
          <cell r="A33">
            <v>36</v>
          </cell>
          <cell r="B33" t="str">
            <v>Nam Định</v>
          </cell>
          <cell r="C33">
            <v>213172</v>
          </cell>
          <cell r="D33">
            <v>206669</v>
          </cell>
          <cell r="E33">
            <v>227062</v>
          </cell>
          <cell r="F33">
            <v>200188</v>
          </cell>
          <cell r="G33">
            <v>236168</v>
          </cell>
          <cell r="H33">
            <v>220215</v>
          </cell>
          <cell r="I33">
            <v>227658</v>
          </cell>
          <cell r="J33">
            <v>208227</v>
          </cell>
          <cell r="K33">
            <v>227690</v>
          </cell>
          <cell r="L33">
            <v>205392</v>
          </cell>
          <cell r="M33">
            <v>234674</v>
          </cell>
          <cell r="N33">
            <v>216965</v>
          </cell>
          <cell r="O33">
            <v>253430</v>
          </cell>
          <cell r="P33">
            <v>224357</v>
          </cell>
          <cell r="Q33">
            <v>245587</v>
          </cell>
          <cell r="R33">
            <v>237646</v>
          </cell>
        </row>
        <row r="34">
          <cell r="A34">
            <v>37</v>
          </cell>
          <cell r="B34" t="str">
            <v>Ninh Bình</v>
          </cell>
          <cell r="C34">
            <v>116726</v>
          </cell>
          <cell r="D34">
            <v>107114</v>
          </cell>
          <cell r="E34">
            <v>112098</v>
          </cell>
          <cell r="F34">
            <v>110878</v>
          </cell>
          <cell r="G34">
            <v>118072</v>
          </cell>
          <cell r="H34">
            <v>109664</v>
          </cell>
          <cell r="I34">
            <v>130090</v>
          </cell>
          <cell r="J34">
            <v>120507</v>
          </cell>
          <cell r="K34">
            <v>129300</v>
          </cell>
          <cell r="L34">
            <v>122583</v>
          </cell>
          <cell r="M34">
            <v>138143</v>
          </cell>
          <cell r="N34">
            <v>128173</v>
          </cell>
          <cell r="O34">
            <v>147982</v>
          </cell>
          <cell r="P34">
            <v>131687</v>
          </cell>
          <cell r="Q34">
            <v>145705</v>
          </cell>
          <cell r="R34">
            <v>134679</v>
          </cell>
        </row>
        <row r="35">
          <cell r="A35">
            <v>38</v>
          </cell>
          <cell r="B35" t="str">
            <v>Thanh Hoá</v>
          </cell>
          <cell r="C35">
            <v>444291</v>
          </cell>
          <cell r="D35">
            <v>395178</v>
          </cell>
          <cell r="E35">
            <v>438748</v>
          </cell>
          <cell r="F35">
            <v>401566</v>
          </cell>
          <cell r="G35">
            <v>454302</v>
          </cell>
          <cell r="H35">
            <v>402224</v>
          </cell>
          <cell r="I35">
            <v>469288</v>
          </cell>
          <cell r="J35">
            <v>426027</v>
          </cell>
          <cell r="K35">
            <v>492368</v>
          </cell>
          <cell r="L35">
            <v>440966</v>
          </cell>
          <cell r="M35">
            <v>494873</v>
          </cell>
          <cell r="N35">
            <v>434396</v>
          </cell>
          <cell r="O35">
            <v>508607</v>
          </cell>
          <cell r="P35">
            <v>434995</v>
          </cell>
          <cell r="Q35">
            <v>510317</v>
          </cell>
          <cell r="R35">
            <v>460770</v>
          </cell>
        </row>
        <row r="36">
          <cell r="A36">
            <v>40</v>
          </cell>
          <cell r="B36" t="str">
            <v>Nghệ An</v>
          </cell>
          <cell r="C36">
            <v>414383</v>
          </cell>
          <cell r="D36">
            <v>372785</v>
          </cell>
          <cell r="E36">
            <v>405084</v>
          </cell>
          <cell r="F36">
            <v>363362</v>
          </cell>
          <cell r="G36">
            <v>417804</v>
          </cell>
          <cell r="H36">
            <v>372877</v>
          </cell>
          <cell r="I36">
            <v>457207</v>
          </cell>
          <cell r="J36">
            <v>422203</v>
          </cell>
          <cell r="K36">
            <v>459977</v>
          </cell>
          <cell r="L36">
            <v>425151</v>
          </cell>
          <cell r="M36">
            <v>482672</v>
          </cell>
          <cell r="N36">
            <v>441896</v>
          </cell>
          <cell r="O36">
            <v>487319</v>
          </cell>
          <cell r="P36">
            <v>464932</v>
          </cell>
          <cell r="Q36">
            <v>476516</v>
          </cell>
          <cell r="R36">
            <v>465518</v>
          </cell>
        </row>
        <row r="37">
          <cell r="A37">
            <v>42</v>
          </cell>
          <cell r="B37" t="str">
            <v>Hà Tĩnh</v>
          </cell>
          <cell r="C37">
            <v>160218</v>
          </cell>
          <cell r="D37">
            <v>148207</v>
          </cell>
          <cell r="E37">
            <v>165043</v>
          </cell>
          <cell r="F37">
            <v>157688</v>
          </cell>
          <cell r="G37">
            <v>169927</v>
          </cell>
          <cell r="H37">
            <v>158459</v>
          </cell>
          <cell r="I37">
            <v>175995</v>
          </cell>
          <cell r="J37">
            <v>165406</v>
          </cell>
          <cell r="K37">
            <v>179246</v>
          </cell>
          <cell r="L37">
            <v>166254</v>
          </cell>
          <cell r="M37">
            <v>180869</v>
          </cell>
          <cell r="N37">
            <v>169641</v>
          </cell>
          <cell r="O37">
            <v>191362</v>
          </cell>
          <cell r="P37">
            <v>174648</v>
          </cell>
          <cell r="Q37">
            <v>182869</v>
          </cell>
          <cell r="R37">
            <v>187097</v>
          </cell>
        </row>
        <row r="38">
          <cell r="A38">
            <v>44</v>
          </cell>
          <cell r="B38" t="str">
            <v>Quảng Bình</v>
          </cell>
          <cell r="C38">
            <v>121579</v>
          </cell>
          <cell r="D38">
            <v>105373</v>
          </cell>
          <cell r="E38">
            <v>112632</v>
          </cell>
          <cell r="F38">
            <v>105608</v>
          </cell>
          <cell r="G38">
            <v>124178</v>
          </cell>
          <cell r="H38">
            <v>103328</v>
          </cell>
          <cell r="I38">
            <v>122900</v>
          </cell>
          <cell r="J38">
            <v>114937</v>
          </cell>
          <cell r="K38">
            <v>117635</v>
          </cell>
          <cell r="L38">
            <v>113013</v>
          </cell>
          <cell r="M38">
            <v>125377</v>
          </cell>
          <cell r="N38">
            <v>119719</v>
          </cell>
          <cell r="O38">
            <v>132241</v>
          </cell>
          <cell r="P38">
            <v>117519</v>
          </cell>
          <cell r="Q38">
            <v>128420</v>
          </cell>
          <cell r="R38">
            <v>122531</v>
          </cell>
        </row>
        <row r="39">
          <cell r="A39">
            <v>45</v>
          </cell>
          <cell r="B39" t="str">
            <v>Quảng Trị</v>
          </cell>
          <cell r="C39">
            <v>86200</v>
          </cell>
          <cell r="D39">
            <v>85496</v>
          </cell>
          <cell r="E39">
            <v>87493</v>
          </cell>
          <cell r="F39">
            <v>81342</v>
          </cell>
          <cell r="G39">
            <v>87442</v>
          </cell>
          <cell r="H39">
            <v>83030</v>
          </cell>
          <cell r="I39">
            <v>89576</v>
          </cell>
          <cell r="J39">
            <v>84477</v>
          </cell>
          <cell r="K39">
            <v>86549</v>
          </cell>
          <cell r="L39">
            <v>84390</v>
          </cell>
          <cell r="M39">
            <v>91693</v>
          </cell>
          <cell r="N39">
            <v>86638</v>
          </cell>
          <cell r="O39">
            <v>93960</v>
          </cell>
          <cell r="P39">
            <v>89660</v>
          </cell>
          <cell r="Q39">
            <v>94829</v>
          </cell>
          <cell r="R39">
            <v>90490</v>
          </cell>
        </row>
        <row r="40">
          <cell r="A40">
            <v>46</v>
          </cell>
          <cell r="B40" t="str">
            <v>Thừa Thiên Huế</v>
          </cell>
          <cell r="C40">
            <v>133133</v>
          </cell>
          <cell r="D40">
            <v>130959</v>
          </cell>
          <cell r="E40">
            <v>145948</v>
          </cell>
          <cell r="F40">
            <v>134001</v>
          </cell>
          <cell r="G40">
            <v>141264</v>
          </cell>
          <cell r="H40">
            <v>133874</v>
          </cell>
          <cell r="I40">
            <v>141091</v>
          </cell>
          <cell r="J40">
            <v>131801</v>
          </cell>
          <cell r="K40">
            <v>142387</v>
          </cell>
          <cell r="L40">
            <v>129234</v>
          </cell>
          <cell r="M40">
            <v>144002</v>
          </cell>
          <cell r="N40">
            <v>132800</v>
          </cell>
          <cell r="O40">
            <v>151110</v>
          </cell>
          <cell r="P40">
            <v>142263</v>
          </cell>
          <cell r="Q40">
            <v>149029</v>
          </cell>
          <cell r="R40">
            <v>136924</v>
          </cell>
        </row>
        <row r="41">
          <cell r="A41">
            <v>48</v>
          </cell>
          <cell r="B41" t="str">
            <v>Đà Nẵng</v>
          </cell>
          <cell r="C41">
            <v>129687</v>
          </cell>
          <cell r="D41">
            <v>113078</v>
          </cell>
          <cell r="E41">
            <v>129750</v>
          </cell>
          <cell r="F41">
            <v>118274</v>
          </cell>
          <cell r="G41">
            <v>132337</v>
          </cell>
          <cell r="H41">
            <v>116262</v>
          </cell>
          <cell r="I41">
            <v>139704</v>
          </cell>
          <cell r="J41">
            <v>128075</v>
          </cell>
          <cell r="K41">
            <v>150708</v>
          </cell>
          <cell r="L41">
            <v>132961</v>
          </cell>
          <cell r="M41">
            <v>150028</v>
          </cell>
          <cell r="N41">
            <v>138453</v>
          </cell>
          <cell r="O41">
            <v>157972</v>
          </cell>
          <cell r="P41">
            <v>142369</v>
          </cell>
          <cell r="Q41">
            <v>158204</v>
          </cell>
          <cell r="R41">
            <v>147525</v>
          </cell>
        </row>
        <row r="42">
          <cell r="A42">
            <v>49</v>
          </cell>
          <cell r="B42" t="str">
            <v>Quảng Nam</v>
          </cell>
          <cell r="C42">
            <v>174467</v>
          </cell>
          <cell r="D42">
            <v>166471</v>
          </cell>
          <cell r="E42">
            <v>175573</v>
          </cell>
          <cell r="F42">
            <v>163823</v>
          </cell>
          <cell r="G42">
            <v>177580</v>
          </cell>
          <cell r="H42">
            <v>172538</v>
          </cell>
          <cell r="I42">
            <v>188828</v>
          </cell>
          <cell r="J42">
            <v>175166</v>
          </cell>
          <cell r="K42">
            <v>188872</v>
          </cell>
          <cell r="L42">
            <v>170945</v>
          </cell>
          <cell r="M42">
            <v>196927</v>
          </cell>
          <cell r="N42">
            <v>171983</v>
          </cell>
          <cell r="O42">
            <v>198427</v>
          </cell>
          <cell r="P42">
            <v>175909</v>
          </cell>
          <cell r="Q42">
            <v>189828</v>
          </cell>
          <cell r="R42">
            <v>179717</v>
          </cell>
        </row>
        <row r="43">
          <cell r="A43">
            <v>51</v>
          </cell>
          <cell r="B43" t="str">
            <v>Quảng Ngãi</v>
          </cell>
          <cell r="C43">
            <v>143107</v>
          </cell>
          <cell r="D43">
            <v>129296</v>
          </cell>
          <cell r="E43">
            <v>149887</v>
          </cell>
          <cell r="F43">
            <v>136040</v>
          </cell>
          <cell r="G43">
            <v>153303</v>
          </cell>
          <cell r="H43">
            <v>142312</v>
          </cell>
          <cell r="I43">
            <v>152829</v>
          </cell>
          <cell r="J43">
            <v>142930</v>
          </cell>
          <cell r="K43">
            <v>145422</v>
          </cell>
          <cell r="L43">
            <v>143563</v>
          </cell>
          <cell r="M43">
            <v>153704</v>
          </cell>
          <cell r="N43">
            <v>149318</v>
          </cell>
          <cell r="O43">
            <v>163129</v>
          </cell>
          <cell r="P43">
            <v>151807</v>
          </cell>
          <cell r="Q43">
            <v>155735</v>
          </cell>
          <cell r="R43">
            <v>149091</v>
          </cell>
        </row>
        <row r="44">
          <cell r="A44">
            <v>52</v>
          </cell>
          <cell r="B44" t="str">
            <v>Bình Định</v>
          </cell>
          <cell r="C44">
            <v>183794</v>
          </cell>
          <cell r="D44">
            <v>171751</v>
          </cell>
          <cell r="E44">
            <v>173118</v>
          </cell>
          <cell r="F44">
            <v>166960</v>
          </cell>
          <cell r="G44">
            <v>175450</v>
          </cell>
          <cell r="H44">
            <v>165063</v>
          </cell>
          <cell r="I44">
            <v>181847</v>
          </cell>
          <cell r="J44">
            <v>168671</v>
          </cell>
          <cell r="K44">
            <v>186123</v>
          </cell>
          <cell r="L44">
            <v>165597</v>
          </cell>
          <cell r="M44">
            <v>174233</v>
          </cell>
          <cell r="N44">
            <v>166920</v>
          </cell>
          <cell r="O44">
            <v>173981</v>
          </cell>
          <cell r="P44">
            <v>161524</v>
          </cell>
          <cell r="Q44">
            <v>178833</v>
          </cell>
          <cell r="R44">
            <v>168316</v>
          </cell>
        </row>
        <row r="45">
          <cell r="A45">
            <v>54</v>
          </cell>
          <cell r="B45" t="str">
            <v>Phú Yên</v>
          </cell>
          <cell r="C45">
            <v>115413</v>
          </cell>
          <cell r="D45">
            <v>104099</v>
          </cell>
          <cell r="E45">
            <v>112431</v>
          </cell>
          <cell r="F45">
            <v>105055</v>
          </cell>
          <cell r="G45">
            <v>112893</v>
          </cell>
          <cell r="H45">
            <v>100642</v>
          </cell>
          <cell r="I45">
            <v>109861</v>
          </cell>
          <cell r="J45">
            <v>103706</v>
          </cell>
          <cell r="K45">
            <v>103963</v>
          </cell>
          <cell r="L45">
            <v>96733</v>
          </cell>
          <cell r="M45">
            <v>106351</v>
          </cell>
          <cell r="N45">
            <v>98081</v>
          </cell>
          <cell r="O45">
            <v>115856</v>
          </cell>
          <cell r="P45">
            <v>98671</v>
          </cell>
          <cell r="Q45">
            <v>105153</v>
          </cell>
          <cell r="R45">
            <v>98952</v>
          </cell>
        </row>
        <row r="46">
          <cell r="A46">
            <v>56</v>
          </cell>
          <cell r="B46" t="str">
            <v>Khánh Hoà</v>
          </cell>
          <cell r="C46">
            <v>138162</v>
          </cell>
          <cell r="D46">
            <v>127250</v>
          </cell>
          <cell r="E46">
            <v>134503</v>
          </cell>
          <cell r="F46">
            <v>129979</v>
          </cell>
          <cell r="G46">
            <v>128168</v>
          </cell>
          <cell r="H46">
            <v>120716</v>
          </cell>
          <cell r="I46">
            <v>147930</v>
          </cell>
          <cell r="J46">
            <v>136209</v>
          </cell>
          <cell r="K46">
            <v>147075</v>
          </cell>
          <cell r="L46">
            <v>135090</v>
          </cell>
          <cell r="M46">
            <v>146509</v>
          </cell>
          <cell r="N46">
            <v>131587</v>
          </cell>
          <cell r="O46">
            <v>140599</v>
          </cell>
          <cell r="P46">
            <v>124908</v>
          </cell>
          <cell r="Q46">
            <v>134852</v>
          </cell>
          <cell r="R46">
            <v>123177</v>
          </cell>
        </row>
        <row r="47">
          <cell r="A47">
            <v>58</v>
          </cell>
          <cell r="B47" t="str">
            <v>Ninh Thuận</v>
          </cell>
          <cell r="C47">
            <v>80481</v>
          </cell>
          <cell r="D47">
            <v>74881</v>
          </cell>
          <cell r="E47">
            <v>84231</v>
          </cell>
          <cell r="F47">
            <v>76947</v>
          </cell>
          <cell r="G47">
            <v>80382</v>
          </cell>
          <cell r="H47">
            <v>80135</v>
          </cell>
          <cell r="I47">
            <v>82543</v>
          </cell>
          <cell r="J47">
            <v>77427</v>
          </cell>
          <cell r="K47">
            <v>82701</v>
          </cell>
          <cell r="L47">
            <v>76965</v>
          </cell>
          <cell r="M47">
            <v>77262</v>
          </cell>
          <cell r="N47">
            <v>75917</v>
          </cell>
          <cell r="O47">
            <v>78520</v>
          </cell>
          <cell r="P47">
            <v>76939</v>
          </cell>
          <cell r="Q47">
            <v>78594</v>
          </cell>
          <cell r="R47">
            <v>75305</v>
          </cell>
        </row>
        <row r="48">
          <cell r="A48">
            <v>60</v>
          </cell>
          <cell r="B48" t="str">
            <v>Bình Thuận</v>
          </cell>
          <cell r="C48">
            <v>146740</v>
          </cell>
          <cell r="D48">
            <v>145156</v>
          </cell>
          <cell r="E48">
            <v>156348</v>
          </cell>
          <cell r="F48">
            <v>145327</v>
          </cell>
          <cell r="G48">
            <v>151099</v>
          </cell>
          <cell r="H48">
            <v>144984</v>
          </cell>
          <cell r="I48">
            <v>159085</v>
          </cell>
          <cell r="J48">
            <v>148907</v>
          </cell>
          <cell r="K48">
            <v>160200</v>
          </cell>
          <cell r="L48">
            <v>136260</v>
          </cell>
          <cell r="M48">
            <v>159248</v>
          </cell>
          <cell r="N48">
            <v>146518</v>
          </cell>
          <cell r="O48">
            <v>153748</v>
          </cell>
          <cell r="P48">
            <v>137721</v>
          </cell>
          <cell r="Q48">
            <v>143657</v>
          </cell>
          <cell r="R48">
            <v>142355</v>
          </cell>
        </row>
        <row r="49">
          <cell r="A49">
            <v>62</v>
          </cell>
          <cell r="B49" t="str">
            <v>Kon Tum</v>
          </cell>
          <cell r="C49">
            <v>82793</v>
          </cell>
          <cell r="D49">
            <v>79398</v>
          </cell>
          <cell r="E49">
            <v>79653</v>
          </cell>
          <cell r="F49">
            <v>75492</v>
          </cell>
          <cell r="G49">
            <v>82917</v>
          </cell>
          <cell r="H49">
            <v>79551</v>
          </cell>
          <cell r="I49">
            <v>91000</v>
          </cell>
          <cell r="J49">
            <v>87519</v>
          </cell>
          <cell r="K49">
            <v>89840</v>
          </cell>
          <cell r="L49">
            <v>85511</v>
          </cell>
          <cell r="M49">
            <v>92733</v>
          </cell>
          <cell r="N49">
            <v>85372</v>
          </cell>
          <cell r="O49">
            <v>90818</v>
          </cell>
          <cell r="P49">
            <v>85857</v>
          </cell>
          <cell r="Q49">
            <v>86470</v>
          </cell>
          <cell r="R49">
            <v>81068</v>
          </cell>
        </row>
        <row r="50">
          <cell r="A50">
            <v>64</v>
          </cell>
          <cell r="B50" t="str">
            <v>Gia Lai</v>
          </cell>
          <cell r="C50">
            <v>221638</v>
          </cell>
          <cell r="D50">
            <v>216858</v>
          </cell>
          <cell r="E50">
            <v>228175</v>
          </cell>
          <cell r="F50">
            <v>207988</v>
          </cell>
          <cell r="G50">
            <v>218560</v>
          </cell>
          <cell r="H50">
            <v>207572</v>
          </cell>
          <cell r="I50">
            <v>243273</v>
          </cell>
          <cell r="J50">
            <v>231651</v>
          </cell>
          <cell r="K50">
            <v>246556</v>
          </cell>
          <cell r="L50">
            <v>225605</v>
          </cell>
          <cell r="M50">
            <v>251511</v>
          </cell>
          <cell r="N50">
            <v>229220</v>
          </cell>
          <cell r="O50">
            <v>240910</v>
          </cell>
          <cell r="P50">
            <v>238162</v>
          </cell>
          <cell r="Q50">
            <v>245001</v>
          </cell>
          <cell r="R50">
            <v>251868</v>
          </cell>
        </row>
        <row r="51">
          <cell r="A51">
            <v>66</v>
          </cell>
          <cell r="B51" t="str">
            <v>Đắk Lắk</v>
          </cell>
          <cell r="C51">
            <v>253068</v>
          </cell>
          <cell r="D51">
            <v>228471</v>
          </cell>
          <cell r="E51">
            <v>256503</v>
          </cell>
          <cell r="F51">
            <v>243257</v>
          </cell>
          <cell r="G51">
            <v>257474</v>
          </cell>
          <cell r="H51">
            <v>248756</v>
          </cell>
          <cell r="I51">
            <v>265862</v>
          </cell>
          <cell r="J51">
            <v>252109</v>
          </cell>
          <cell r="K51">
            <v>267100</v>
          </cell>
          <cell r="L51">
            <v>249617</v>
          </cell>
          <cell r="M51">
            <v>272970</v>
          </cell>
          <cell r="N51">
            <v>242128</v>
          </cell>
          <cell r="O51">
            <v>270417</v>
          </cell>
          <cell r="P51">
            <v>262050</v>
          </cell>
          <cell r="Q51">
            <v>267290</v>
          </cell>
          <cell r="R51">
            <v>250974</v>
          </cell>
        </row>
        <row r="52">
          <cell r="A52">
            <v>67</v>
          </cell>
          <cell r="B52" t="str">
            <v>Đắk Nông</v>
          </cell>
          <cell r="C52">
            <v>91814</v>
          </cell>
          <cell r="D52">
            <v>86354</v>
          </cell>
          <cell r="E52">
            <v>99708</v>
          </cell>
          <cell r="F52">
            <v>91564</v>
          </cell>
          <cell r="G52">
            <v>100829</v>
          </cell>
          <cell r="H52">
            <v>97755</v>
          </cell>
          <cell r="I52">
            <v>101790</v>
          </cell>
          <cell r="J52">
            <v>95057</v>
          </cell>
          <cell r="K52">
            <v>100898</v>
          </cell>
          <cell r="L52">
            <v>96964</v>
          </cell>
          <cell r="M52">
            <v>98629</v>
          </cell>
          <cell r="N52">
            <v>95695</v>
          </cell>
          <cell r="O52">
            <v>104002</v>
          </cell>
          <cell r="P52">
            <v>97822</v>
          </cell>
          <cell r="Q52">
            <v>102813</v>
          </cell>
          <cell r="R52">
            <v>100903</v>
          </cell>
        </row>
        <row r="53">
          <cell r="A53">
            <v>68</v>
          </cell>
          <cell r="B53" t="str">
            <v>Lâm Đồng</v>
          </cell>
          <cell r="C53">
            <v>174220</v>
          </cell>
          <cell r="D53">
            <v>162376</v>
          </cell>
          <cell r="E53">
            <v>169789</v>
          </cell>
          <cell r="F53">
            <v>159954</v>
          </cell>
          <cell r="G53">
            <v>173859</v>
          </cell>
          <cell r="H53">
            <v>153091</v>
          </cell>
          <cell r="I53">
            <v>177124</v>
          </cell>
          <cell r="J53">
            <v>166223</v>
          </cell>
          <cell r="K53">
            <v>174574</v>
          </cell>
          <cell r="L53">
            <v>172492</v>
          </cell>
          <cell r="M53">
            <v>176484</v>
          </cell>
          <cell r="N53">
            <v>164861</v>
          </cell>
          <cell r="O53">
            <v>173671</v>
          </cell>
          <cell r="P53">
            <v>160759</v>
          </cell>
          <cell r="Q53">
            <v>179672</v>
          </cell>
          <cell r="R53">
            <v>172293</v>
          </cell>
        </row>
        <row r="54">
          <cell r="A54">
            <v>70</v>
          </cell>
          <cell r="B54" t="str">
            <v>Bình Phước</v>
          </cell>
          <cell r="C54">
            <v>130752</v>
          </cell>
          <cell r="D54">
            <v>118400</v>
          </cell>
          <cell r="E54">
            <v>129531</v>
          </cell>
          <cell r="F54">
            <v>122229</v>
          </cell>
          <cell r="G54">
            <v>133489</v>
          </cell>
          <cell r="H54">
            <v>124085</v>
          </cell>
          <cell r="I54">
            <v>139060</v>
          </cell>
          <cell r="J54">
            <v>129907</v>
          </cell>
          <cell r="K54">
            <v>132547</v>
          </cell>
          <cell r="L54">
            <v>124707</v>
          </cell>
          <cell r="M54">
            <v>134986</v>
          </cell>
          <cell r="N54">
            <v>128347</v>
          </cell>
          <cell r="O54">
            <v>144115</v>
          </cell>
          <cell r="P54">
            <v>130478</v>
          </cell>
          <cell r="Q54">
            <v>139167</v>
          </cell>
          <cell r="R54">
            <v>138191</v>
          </cell>
        </row>
        <row r="55">
          <cell r="A55">
            <v>72</v>
          </cell>
          <cell r="B55" t="str">
            <v>Tây Ninh</v>
          </cell>
          <cell r="C55">
            <v>127992</v>
          </cell>
          <cell r="D55">
            <v>114031</v>
          </cell>
          <cell r="E55">
            <v>127001</v>
          </cell>
          <cell r="F55">
            <v>109489</v>
          </cell>
          <cell r="G55">
            <v>125606</v>
          </cell>
          <cell r="H55">
            <v>115065</v>
          </cell>
          <cell r="I55">
            <v>129629</v>
          </cell>
          <cell r="J55">
            <v>119139</v>
          </cell>
          <cell r="K55">
            <v>129861</v>
          </cell>
          <cell r="L55">
            <v>117042</v>
          </cell>
          <cell r="M55">
            <v>128566</v>
          </cell>
          <cell r="N55">
            <v>112412</v>
          </cell>
          <cell r="O55">
            <v>129786</v>
          </cell>
          <cell r="P55">
            <v>113864</v>
          </cell>
          <cell r="Q55">
            <v>126608</v>
          </cell>
          <cell r="R55">
            <v>119436</v>
          </cell>
        </row>
        <row r="56">
          <cell r="A56">
            <v>74</v>
          </cell>
          <cell r="B56" t="str">
            <v>Bình Dương</v>
          </cell>
          <cell r="C56">
            <v>214695</v>
          </cell>
          <cell r="D56">
            <v>201526</v>
          </cell>
          <cell r="E56">
            <v>226758</v>
          </cell>
          <cell r="F56">
            <v>210252</v>
          </cell>
          <cell r="G56">
            <v>251928</v>
          </cell>
          <cell r="H56">
            <v>200580</v>
          </cell>
          <cell r="I56">
            <v>249949</v>
          </cell>
          <cell r="J56">
            <v>227759</v>
          </cell>
          <cell r="K56">
            <v>276532</v>
          </cell>
          <cell r="L56">
            <v>250581</v>
          </cell>
          <cell r="M56">
            <v>283791</v>
          </cell>
          <cell r="N56">
            <v>243444</v>
          </cell>
          <cell r="O56">
            <v>273267</v>
          </cell>
          <cell r="P56">
            <v>249313</v>
          </cell>
          <cell r="Q56">
            <v>298780</v>
          </cell>
          <cell r="R56">
            <v>263750</v>
          </cell>
        </row>
        <row r="57">
          <cell r="A57">
            <v>75</v>
          </cell>
          <cell r="B57" t="str">
            <v>Đồng Nai</v>
          </cell>
          <cell r="C57">
            <v>332518</v>
          </cell>
          <cell r="D57">
            <v>326534</v>
          </cell>
          <cell r="E57">
            <v>372018</v>
          </cell>
          <cell r="F57">
            <v>320659</v>
          </cell>
          <cell r="G57">
            <v>355410</v>
          </cell>
          <cell r="H57">
            <v>316167</v>
          </cell>
          <cell r="I57">
            <v>383256</v>
          </cell>
          <cell r="J57">
            <v>347912</v>
          </cell>
          <cell r="K57">
            <v>399787</v>
          </cell>
          <cell r="L57">
            <v>342426</v>
          </cell>
          <cell r="M57">
            <v>389247</v>
          </cell>
          <cell r="N57">
            <v>356452</v>
          </cell>
          <cell r="O57">
            <v>382304</v>
          </cell>
          <cell r="P57">
            <v>351583</v>
          </cell>
          <cell r="Q57">
            <v>395734</v>
          </cell>
          <cell r="R57">
            <v>346301</v>
          </cell>
        </row>
        <row r="58">
          <cell r="A58">
            <v>77</v>
          </cell>
          <cell r="B58" t="str">
            <v>Bà Rịa-Vũng Tàu(***)</v>
          </cell>
          <cell r="C58">
            <v>131471</v>
          </cell>
          <cell r="D58">
            <v>122407</v>
          </cell>
          <cell r="E58">
            <v>130306</v>
          </cell>
          <cell r="F58">
            <v>123508</v>
          </cell>
          <cell r="G58">
            <v>134064</v>
          </cell>
          <cell r="H58">
            <v>117221</v>
          </cell>
          <cell r="I58">
            <v>144123</v>
          </cell>
          <cell r="J58">
            <v>132144</v>
          </cell>
          <cell r="K58">
            <v>137675</v>
          </cell>
          <cell r="L58">
            <v>132220</v>
          </cell>
          <cell r="M58">
            <v>137063</v>
          </cell>
          <cell r="N58">
            <v>131558</v>
          </cell>
          <cell r="O58">
            <v>137764</v>
          </cell>
          <cell r="P58">
            <v>129148</v>
          </cell>
          <cell r="Q58">
            <v>133750</v>
          </cell>
          <cell r="R58">
            <v>131858</v>
          </cell>
        </row>
        <row r="59">
          <cell r="A59">
            <v>79</v>
          </cell>
          <cell r="B59" t="str">
            <v>TP Hồ Chí Minh</v>
          </cell>
          <cell r="C59">
            <v>858096</v>
          </cell>
          <cell r="D59">
            <v>800019</v>
          </cell>
          <cell r="E59">
            <v>868225</v>
          </cell>
          <cell r="F59">
            <v>832360</v>
          </cell>
          <cell r="G59">
            <v>898828</v>
          </cell>
          <cell r="H59">
            <v>820863</v>
          </cell>
          <cell r="I59">
            <v>890932</v>
          </cell>
          <cell r="J59">
            <v>812343</v>
          </cell>
          <cell r="K59">
            <v>917857</v>
          </cell>
          <cell r="L59">
            <v>867770</v>
          </cell>
          <cell r="M59">
            <v>940945</v>
          </cell>
          <cell r="N59">
            <v>798714</v>
          </cell>
          <cell r="O59">
            <v>854677</v>
          </cell>
          <cell r="P59">
            <v>822866</v>
          </cell>
          <cell r="Q59">
            <v>904448</v>
          </cell>
          <cell r="R59">
            <v>803732</v>
          </cell>
        </row>
        <row r="60">
          <cell r="A60">
            <v>80</v>
          </cell>
          <cell r="B60" t="str">
            <v>Long An</v>
          </cell>
          <cell r="C60">
            <v>165866</v>
          </cell>
          <cell r="D60">
            <v>157508</v>
          </cell>
          <cell r="E60">
            <v>166817</v>
          </cell>
          <cell r="F60">
            <v>149629</v>
          </cell>
          <cell r="G60">
            <v>167988</v>
          </cell>
          <cell r="H60">
            <v>158304</v>
          </cell>
          <cell r="I60">
            <v>183673</v>
          </cell>
          <cell r="J60">
            <v>171123</v>
          </cell>
          <cell r="K60">
            <v>189480</v>
          </cell>
          <cell r="L60">
            <v>164228</v>
          </cell>
          <cell r="M60">
            <v>183069</v>
          </cell>
          <cell r="N60">
            <v>173153</v>
          </cell>
          <cell r="O60">
            <v>185068</v>
          </cell>
          <cell r="P60">
            <v>166771</v>
          </cell>
          <cell r="Q60">
            <v>183366</v>
          </cell>
          <cell r="R60">
            <v>174555</v>
          </cell>
        </row>
        <row r="61">
          <cell r="A61">
            <v>82</v>
          </cell>
          <cell r="B61" t="str">
            <v>Tiền Giang</v>
          </cell>
          <cell r="C61">
            <v>198260</v>
          </cell>
          <cell r="D61">
            <v>188075</v>
          </cell>
          <cell r="E61">
            <v>191996</v>
          </cell>
          <cell r="F61">
            <v>187524</v>
          </cell>
          <cell r="G61">
            <v>190551</v>
          </cell>
          <cell r="H61">
            <v>182752</v>
          </cell>
          <cell r="I61">
            <v>188883</v>
          </cell>
          <cell r="J61">
            <v>176572</v>
          </cell>
          <cell r="K61">
            <v>184769</v>
          </cell>
          <cell r="L61">
            <v>173691</v>
          </cell>
          <cell r="M61">
            <v>183710</v>
          </cell>
          <cell r="N61">
            <v>176727</v>
          </cell>
          <cell r="O61">
            <v>190381</v>
          </cell>
          <cell r="P61">
            <v>173587</v>
          </cell>
          <cell r="Q61">
            <v>185294</v>
          </cell>
          <cell r="R61">
            <v>178487</v>
          </cell>
        </row>
        <row r="62">
          <cell r="A62">
            <v>83</v>
          </cell>
          <cell r="B62" t="str">
            <v>Bến Tre</v>
          </cell>
          <cell r="C62">
            <v>132832</v>
          </cell>
          <cell r="D62">
            <v>127705</v>
          </cell>
          <cell r="E62">
            <v>133641</v>
          </cell>
          <cell r="F62">
            <v>127929</v>
          </cell>
          <cell r="G62">
            <v>130641</v>
          </cell>
          <cell r="H62">
            <v>120063</v>
          </cell>
          <cell r="I62">
            <v>131543</v>
          </cell>
          <cell r="J62">
            <v>124616</v>
          </cell>
          <cell r="K62">
            <v>131089</v>
          </cell>
          <cell r="L62">
            <v>124811</v>
          </cell>
          <cell r="M62">
            <v>130217</v>
          </cell>
          <cell r="N62">
            <v>123962</v>
          </cell>
          <cell r="O62">
            <v>138513</v>
          </cell>
          <cell r="P62">
            <v>128865</v>
          </cell>
          <cell r="Q62">
            <v>134639</v>
          </cell>
          <cell r="R62">
            <v>125281</v>
          </cell>
        </row>
        <row r="63">
          <cell r="A63">
            <v>84</v>
          </cell>
          <cell r="B63" t="str">
            <v>Trà Vinh</v>
          </cell>
          <cell r="C63">
            <v>128023</v>
          </cell>
          <cell r="D63">
            <v>115727</v>
          </cell>
          <cell r="E63">
            <v>125319</v>
          </cell>
          <cell r="F63">
            <v>114216</v>
          </cell>
          <cell r="G63">
            <v>120488</v>
          </cell>
          <cell r="H63">
            <v>120863</v>
          </cell>
          <cell r="I63">
            <v>120741</v>
          </cell>
          <cell r="J63">
            <v>113260</v>
          </cell>
          <cell r="K63">
            <v>117231</v>
          </cell>
          <cell r="L63">
            <v>112951</v>
          </cell>
          <cell r="M63">
            <v>118152</v>
          </cell>
          <cell r="N63">
            <v>117288</v>
          </cell>
          <cell r="O63">
            <v>121097</v>
          </cell>
          <cell r="P63">
            <v>111453</v>
          </cell>
          <cell r="Q63">
            <v>120081</v>
          </cell>
          <cell r="R63">
            <v>116271</v>
          </cell>
        </row>
        <row r="64">
          <cell r="A64">
            <v>86</v>
          </cell>
          <cell r="B64" t="str">
            <v>Vĩnh Long</v>
          </cell>
          <cell r="C64">
            <v>115233</v>
          </cell>
          <cell r="D64">
            <v>113216</v>
          </cell>
          <cell r="E64">
            <v>111426</v>
          </cell>
          <cell r="F64">
            <v>103777</v>
          </cell>
          <cell r="G64">
            <v>119432</v>
          </cell>
          <cell r="H64">
            <v>107895</v>
          </cell>
          <cell r="I64">
            <v>109476</v>
          </cell>
          <cell r="J64">
            <v>102135</v>
          </cell>
          <cell r="K64">
            <v>104389</v>
          </cell>
          <cell r="L64">
            <v>98469</v>
          </cell>
          <cell r="M64">
            <v>110338</v>
          </cell>
          <cell r="N64">
            <v>101835</v>
          </cell>
          <cell r="O64">
            <v>106232</v>
          </cell>
          <cell r="P64">
            <v>98782</v>
          </cell>
          <cell r="Q64">
            <v>104916</v>
          </cell>
          <cell r="R64">
            <v>95637</v>
          </cell>
        </row>
        <row r="65">
          <cell r="A65">
            <v>87</v>
          </cell>
          <cell r="B65" t="str">
            <v>Đồng Tháp</v>
          </cell>
          <cell r="C65">
            <v>195086</v>
          </cell>
          <cell r="D65">
            <v>174296</v>
          </cell>
          <cell r="E65">
            <v>197780</v>
          </cell>
          <cell r="F65">
            <v>184984</v>
          </cell>
          <cell r="G65">
            <v>198538</v>
          </cell>
          <cell r="H65">
            <v>176086</v>
          </cell>
          <cell r="I65">
            <v>181751</v>
          </cell>
          <cell r="J65">
            <v>170057</v>
          </cell>
          <cell r="K65">
            <v>182125</v>
          </cell>
          <cell r="L65">
            <v>177271</v>
          </cell>
          <cell r="M65">
            <v>176508</v>
          </cell>
          <cell r="N65">
            <v>160626</v>
          </cell>
          <cell r="O65">
            <v>178292</v>
          </cell>
          <cell r="P65">
            <v>156689</v>
          </cell>
          <cell r="Q65">
            <v>169587</v>
          </cell>
          <cell r="R65">
            <v>160568</v>
          </cell>
        </row>
        <row r="66">
          <cell r="A66">
            <v>89</v>
          </cell>
          <cell r="B66" t="str">
            <v>An Giang</v>
          </cell>
          <cell r="C66">
            <v>265494</v>
          </cell>
          <cell r="D66">
            <v>255360</v>
          </cell>
          <cell r="E66">
            <v>262659</v>
          </cell>
          <cell r="F66">
            <v>242369</v>
          </cell>
          <cell r="G66">
            <v>274873</v>
          </cell>
          <cell r="H66">
            <v>241951</v>
          </cell>
          <cell r="I66">
            <v>237312</v>
          </cell>
          <cell r="J66">
            <v>222017</v>
          </cell>
          <cell r="K66">
            <v>231081</v>
          </cell>
          <cell r="L66">
            <v>211456</v>
          </cell>
          <cell r="M66">
            <v>231259</v>
          </cell>
          <cell r="N66">
            <v>213251</v>
          </cell>
          <cell r="O66">
            <v>237885</v>
          </cell>
          <cell r="P66">
            <v>218850</v>
          </cell>
          <cell r="Q66">
            <v>221856</v>
          </cell>
          <cell r="R66">
            <v>211893</v>
          </cell>
        </row>
        <row r="67">
          <cell r="A67">
            <v>91</v>
          </cell>
          <cell r="B67" t="str">
            <v>Kiên Giang</v>
          </cell>
          <cell r="C67">
            <v>231763</v>
          </cell>
          <cell r="D67">
            <v>207193</v>
          </cell>
          <cell r="E67">
            <v>233355</v>
          </cell>
          <cell r="F67">
            <v>220470</v>
          </cell>
          <cell r="G67">
            <v>234418</v>
          </cell>
          <cell r="H67">
            <v>210207</v>
          </cell>
          <cell r="I67">
            <v>205564</v>
          </cell>
          <cell r="J67">
            <v>193003</v>
          </cell>
          <cell r="K67">
            <v>210025</v>
          </cell>
          <cell r="L67">
            <v>193730</v>
          </cell>
          <cell r="M67">
            <v>200765</v>
          </cell>
          <cell r="N67">
            <v>182672</v>
          </cell>
          <cell r="O67">
            <v>204157</v>
          </cell>
          <cell r="P67">
            <v>191012</v>
          </cell>
          <cell r="Q67">
            <v>206310</v>
          </cell>
          <cell r="R67">
            <v>188721</v>
          </cell>
        </row>
        <row r="68">
          <cell r="A68">
            <v>92</v>
          </cell>
          <cell r="B68" t="str">
            <v>Cần Thơ</v>
          </cell>
          <cell r="C68">
            <v>137232</v>
          </cell>
          <cell r="D68">
            <v>136911</v>
          </cell>
          <cell r="E68">
            <v>135311</v>
          </cell>
          <cell r="F68">
            <v>130638</v>
          </cell>
          <cell r="G68">
            <v>141131</v>
          </cell>
          <cell r="H68">
            <v>132531</v>
          </cell>
          <cell r="I68">
            <v>128009</v>
          </cell>
          <cell r="J68">
            <v>119670</v>
          </cell>
          <cell r="K68">
            <v>128525</v>
          </cell>
          <cell r="L68">
            <v>118147</v>
          </cell>
          <cell r="M68">
            <v>129727</v>
          </cell>
          <cell r="N68">
            <v>120777</v>
          </cell>
          <cell r="O68">
            <v>119999</v>
          </cell>
          <cell r="P68">
            <v>119201</v>
          </cell>
          <cell r="Q68">
            <v>120530</v>
          </cell>
          <cell r="R68">
            <v>109189</v>
          </cell>
        </row>
        <row r="69">
          <cell r="A69">
            <v>93</v>
          </cell>
          <cell r="B69" t="str">
            <v>Hậu Giang</v>
          </cell>
          <cell r="C69">
            <v>84851</v>
          </cell>
          <cell r="D69">
            <v>78560</v>
          </cell>
          <cell r="E69">
            <v>85297</v>
          </cell>
          <cell r="F69">
            <v>80699</v>
          </cell>
          <cell r="G69">
            <v>87533</v>
          </cell>
          <cell r="H69">
            <v>86708</v>
          </cell>
          <cell r="I69">
            <v>86033</v>
          </cell>
          <cell r="J69">
            <v>80641</v>
          </cell>
          <cell r="K69">
            <v>82939</v>
          </cell>
          <cell r="L69">
            <v>78477</v>
          </cell>
          <cell r="M69">
            <v>81589</v>
          </cell>
          <cell r="N69">
            <v>76809</v>
          </cell>
          <cell r="O69">
            <v>82134</v>
          </cell>
          <cell r="P69">
            <v>75268</v>
          </cell>
          <cell r="Q69">
            <v>76631</v>
          </cell>
          <cell r="R69">
            <v>72599</v>
          </cell>
        </row>
        <row r="70">
          <cell r="A70">
            <v>94</v>
          </cell>
          <cell r="B70" t="str">
            <v>Sóc Trăng</v>
          </cell>
          <cell r="C70">
            <v>155129</v>
          </cell>
          <cell r="D70">
            <v>153391</v>
          </cell>
          <cell r="E70">
            <v>154422</v>
          </cell>
          <cell r="F70">
            <v>148333</v>
          </cell>
          <cell r="G70">
            <v>155388</v>
          </cell>
          <cell r="H70">
            <v>143726</v>
          </cell>
          <cell r="I70">
            <v>147583</v>
          </cell>
          <cell r="J70">
            <v>139328</v>
          </cell>
          <cell r="K70">
            <v>135534</v>
          </cell>
          <cell r="L70">
            <v>132011</v>
          </cell>
          <cell r="M70">
            <v>139105</v>
          </cell>
          <cell r="N70">
            <v>132505</v>
          </cell>
          <cell r="O70">
            <v>136647</v>
          </cell>
          <cell r="P70">
            <v>130873</v>
          </cell>
          <cell r="Q70">
            <v>135971</v>
          </cell>
          <cell r="R70">
            <v>129099</v>
          </cell>
        </row>
        <row r="71">
          <cell r="A71">
            <v>95</v>
          </cell>
          <cell r="B71" t="str">
            <v>Bạc Liêu</v>
          </cell>
          <cell r="C71">
            <v>102409</v>
          </cell>
          <cell r="D71">
            <v>96699</v>
          </cell>
          <cell r="E71">
            <v>97568</v>
          </cell>
          <cell r="F71">
            <v>88005</v>
          </cell>
          <cell r="G71">
            <v>98949</v>
          </cell>
          <cell r="H71">
            <v>88524</v>
          </cell>
          <cell r="I71">
            <v>100327</v>
          </cell>
          <cell r="J71">
            <v>94138</v>
          </cell>
          <cell r="K71">
            <v>97469</v>
          </cell>
          <cell r="L71">
            <v>87878</v>
          </cell>
          <cell r="M71">
            <v>94638</v>
          </cell>
          <cell r="N71">
            <v>90127</v>
          </cell>
          <cell r="O71">
            <v>94471</v>
          </cell>
          <cell r="P71">
            <v>90230</v>
          </cell>
          <cell r="Q71">
            <v>94046</v>
          </cell>
          <cell r="R71">
            <v>88223</v>
          </cell>
        </row>
        <row r="72">
          <cell r="A72">
            <v>96</v>
          </cell>
          <cell r="B72" t="str">
            <v>Cà Mau</v>
          </cell>
          <cell r="C72">
            <v>155482</v>
          </cell>
          <cell r="D72">
            <v>145931</v>
          </cell>
          <cell r="E72">
            <v>148998</v>
          </cell>
          <cell r="F72">
            <v>139912</v>
          </cell>
          <cell r="G72">
            <v>140287</v>
          </cell>
          <cell r="H72">
            <v>128564</v>
          </cell>
          <cell r="I72">
            <v>145132</v>
          </cell>
          <cell r="J72">
            <v>134981</v>
          </cell>
          <cell r="K72">
            <v>139782</v>
          </cell>
          <cell r="L72">
            <v>131563</v>
          </cell>
          <cell r="M72">
            <v>141934</v>
          </cell>
          <cell r="N72">
            <v>133156</v>
          </cell>
          <cell r="O72">
            <v>136197</v>
          </cell>
          <cell r="P72">
            <v>131749</v>
          </cell>
          <cell r="Q72">
            <v>130918</v>
          </cell>
          <cell r="R72">
            <v>124647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951532</v>
          </cell>
          <cell r="D9">
            <v>1063202</v>
          </cell>
          <cell r="E9">
            <v>1194329</v>
          </cell>
          <cell r="F9">
            <v>1014230</v>
          </cell>
          <cell r="G9">
            <v>1107045</v>
          </cell>
          <cell r="H9">
            <v>1171652</v>
          </cell>
          <cell r="I9">
            <v>1209266</v>
          </cell>
          <cell r="J9">
            <v>1284042</v>
          </cell>
        </row>
        <row r="10">
          <cell r="A10" t="str">
            <v>02</v>
          </cell>
          <cell r="B10" t="str">
            <v>Hà Giang</v>
          </cell>
          <cell r="C10">
            <v>58496</v>
          </cell>
          <cell r="D10">
            <v>57545</v>
          </cell>
          <cell r="E10">
            <v>60781</v>
          </cell>
          <cell r="F10">
            <v>62490</v>
          </cell>
          <cell r="G10">
            <v>62418</v>
          </cell>
          <cell r="H10">
            <v>63003</v>
          </cell>
          <cell r="I10">
            <v>64474</v>
          </cell>
          <cell r="J10">
            <v>68253</v>
          </cell>
        </row>
        <row r="11">
          <cell r="A11" t="str">
            <v>04</v>
          </cell>
          <cell r="B11" t="str">
            <v>Cao Bằng</v>
          </cell>
          <cell r="C11">
            <v>51234</v>
          </cell>
          <cell r="D11">
            <v>55816</v>
          </cell>
          <cell r="E11">
            <v>59581</v>
          </cell>
          <cell r="F11">
            <v>57387</v>
          </cell>
          <cell r="G11">
            <v>57845</v>
          </cell>
          <cell r="H11">
            <v>65099</v>
          </cell>
          <cell r="I11">
            <v>66754</v>
          </cell>
          <cell r="J11">
            <v>66672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103259</v>
          </cell>
        </row>
        <row r="14">
          <cell r="A14">
            <v>10</v>
          </cell>
          <cell r="B14" t="str">
            <v>Lào Cai</v>
          </cell>
          <cell r="C14">
            <v>49522</v>
          </cell>
          <cell r="D14">
            <v>52423</v>
          </cell>
          <cell r="E14">
            <v>55192</v>
          </cell>
          <cell r="F14">
            <v>55060</v>
          </cell>
          <cell r="G14">
            <v>55994</v>
          </cell>
          <cell r="H14">
            <v>61996</v>
          </cell>
          <cell r="I14">
            <v>62403</v>
          </cell>
          <cell r="J14">
            <v>66722</v>
          </cell>
        </row>
        <row r="15">
          <cell r="A15">
            <v>11</v>
          </cell>
          <cell r="B15" t="str">
            <v>Điện Biên</v>
          </cell>
          <cell r="C15">
            <v>36235</v>
          </cell>
          <cell r="D15">
            <v>33318</v>
          </cell>
          <cell r="E15">
            <v>38208</v>
          </cell>
          <cell r="F15">
            <v>39613</v>
          </cell>
          <cell r="G15">
            <v>41508</v>
          </cell>
          <cell r="H15">
            <v>44824</v>
          </cell>
          <cell r="I15">
            <v>46356</v>
          </cell>
          <cell r="J15">
            <v>50252</v>
          </cell>
        </row>
        <row r="16">
          <cell r="A16">
            <v>12</v>
          </cell>
          <cell r="B16" t="str">
            <v>Lai Châu</v>
          </cell>
          <cell r="C16">
            <v>23907</v>
          </cell>
          <cell r="D16">
            <v>25348</v>
          </cell>
          <cell r="E16">
            <v>27494</v>
          </cell>
          <cell r="F16">
            <v>25784</v>
          </cell>
          <cell r="G16">
            <v>27393</v>
          </cell>
          <cell r="H16">
            <v>30136</v>
          </cell>
          <cell r="I16">
            <v>28404</v>
          </cell>
          <cell r="J16">
            <v>30155</v>
          </cell>
        </row>
        <row r="17">
          <cell r="A17">
            <v>14</v>
          </cell>
          <cell r="B17" t="str">
            <v>Sơn La</v>
          </cell>
          <cell r="C17">
            <v>86619</v>
          </cell>
          <cell r="D17">
            <v>92850</v>
          </cell>
          <cell r="E17">
            <v>92298</v>
          </cell>
          <cell r="F17">
            <v>90972</v>
          </cell>
          <cell r="G17">
            <v>88484</v>
          </cell>
          <cell r="H17">
            <v>106628</v>
          </cell>
          <cell r="I17">
            <v>108789</v>
          </cell>
          <cell r="J17">
            <v>117889</v>
          </cell>
        </row>
        <row r="18">
          <cell r="A18">
            <v>15</v>
          </cell>
          <cell r="B18" t="str">
            <v>Yên Bái</v>
          </cell>
          <cell r="C18">
            <v>75687</v>
          </cell>
          <cell r="D18">
            <v>87350</v>
          </cell>
          <cell r="E18">
            <v>90401</v>
          </cell>
          <cell r="F18">
            <v>84551</v>
          </cell>
          <cell r="G18">
            <v>87391</v>
          </cell>
          <cell r="H18">
            <v>93459</v>
          </cell>
          <cell r="I18">
            <v>99795</v>
          </cell>
          <cell r="J18">
            <v>102371</v>
          </cell>
        </row>
        <row r="19">
          <cell r="A19">
            <v>17</v>
          </cell>
          <cell r="B19" t="str">
            <v>Hoà Bình</v>
          </cell>
          <cell r="C19">
            <v>80832</v>
          </cell>
          <cell r="D19">
            <v>87410</v>
          </cell>
          <cell r="E19">
            <v>93598</v>
          </cell>
          <cell r="F19">
            <v>94580</v>
          </cell>
          <cell r="G19">
            <v>97748</v>
          </cell>
          <cell r="H19">
            <v>107956</v>
          </cell>
          <cell r="I19">
            <v>114087</v>
          </cell>
          <cell r="J19">
            <v>118500</v>
          </cell>
        </row>
        <row r="20">
          <cell r="A20">
            <v>19</v>
          </cell>
          <cell r="B20" t="str">
            <v>Thái Nguyên</v>
          </cell>
          <cell r="C20">
            <v>146904</v>
          </cell>
          <cell r="D20">
            <v>159104</v>
          </cell>
          <cell r="E20">
            <v>182677</v>
          </cell>
          <cell r="F20">
            <v>153946</v>
          </cell>
          <cell r="G20">
            <v>166556</v>
          </cell>
          <cell r="H20">
            <v>187211</v>
          </cell>
          <cell r="I20">
            <v>184270</v>
          </cell>
          <cell r="J20">
            <v>206518</v>
          </cell>
        </row>
        <row r="21">
          <cell r="A21">
            <v>20</v>
          </cell>
          <cell r="B21" t="str">
            <v>Lạng Sơn</v>
          </cell>
          <cell r="C21">
            <v>73546</v>
          </cell>
          <cell r="D21">
            <v>79040</v>
          </cell>
          <cell r="E21">
            <v>88467</v>
          </cell>
          <cell r="F21">
            <v>83352</v>
          </cell>
          <cell r="G21">
            <v>88462</v>
          </cell>
          <cell r="H21">
            <v>91899</v>
          </cell>
          <cell r="I21">
            <v>97422</v>
          </cell>
          <cell r="J21">
            <v>96054</v>
          </cell>
        </row>
        <row r="22">
          <cell r="A22">
            <v>22</v>
          </cell>
          <cell r="B22" t="str">
            <v>Quảng Ninh</v>
          </cell>
          <cell r="C22">
            <v>153769</v>
          </cell>
          <cell r="D22">
            <v>163451</v>
          </cell>
          <cell r="E22">
            <v>168514</v>
          </cell>
          <cell r="F22">
            <v>159821</v>
          </cell>
          <cell r="G22">
            <v>170184</v>
          </cell>
          <cell r="H22">
            <v>187061</v>
          </cell>
          <cell r="I22">
            <v>187258</v>
          </cell>
          <cell r="J22">
            <v>204290</v>
          </cell>
        </row>
        <row r="23">
          <cell r="A23">
            <v>24</v>
          </cell>
          <cell r="B23" t="str">
            <v>Bắc Giang</v>
          </cell>
          <cell r="C23">
            <v>179341</v>
          </cell>
          <cell r="D23">
            <v>196699</v>
          </cell>
          <cell r="E23">
            <v>200834</v>
          </cell>
          <cell r="F23">
            <v>211924</v>
          </cell>
          <cell r="G23">
            <v>213719</v>
          </cell>
          <cell r="H23">
            <v>246908</v>
          </cell>
          <cell r="I23">
            <v>233619</v>
          </cell>
          <cell r="J23">
            <v>253318</v>
          </cell>
        </row>
        <row r="24">
          <cell r="A24">
            <v>25</v>
          </cell>
          <cell r="B24" t="str">
            <v>Phú Thọ</v>
          </cell>
          <cell r="C24">
            <v>188675</v>
          </cell>
          <cell r="D24">
            <v>195475</v>
          </cell>
          <cell r="E24">
            <v>210291</v>
          </cell>
          <cell r="F24">
            <v>200828</v>
          </cell>
          <cell r="G24">
            <v>204799</v>
          </cell>
          <cell r="H24">
            <v>229876</v>
          </cell>
          <cell r="I24">
            <v>234815</v>
          </cell>
          <cell r="J24">
            <v>256486</v>
          </cell>
        </row>
        <row r="25">
          <cell r="A25">
            <v>26</v>
          </cell>
          <cell r="B25" t="str">
            <v>Vĩnh Phúc</v>
          </cell>
          <cell r="C25">
            <v>127333</v>
          </cell>
          <cell r="D25">
            <v>135216</v>
          </cell>
          <cell r="E25">
            <v>156632</v>
          </cell>
          <cell r="F25">
            <v>139715</v>
          </cell>
          <cell r="G25">
            <v>144603</v>
          </cell>
          <cell r="H25">
            <v>150124</v>
          </cell>
          <cell r="I25">
            <v>154049</v>
          </cell>
          <cell r="J25">
            <v>165417</v>
          </cell>
        </row>
        <row r="26">
          <cell r="A26">
            <v>27</v>
          </cell>
          <cell r="B26" t="str">
            <v>Bắc Ninh</v>
          </cell>
          <cell r="C26">
            <v>145699</v>
          </cell>
          <cell r="D26">
            <v>148336</v>
          </cell>
          <cell r="E26">
            <v>168597</v>
          </cell>
          <cell r="F26">
            <v>152664</v>
          </cell>
          <cell r="G26">
            <v>169086</v>
          </cell>
          <cell r="H26">
            <v>175785</v>
          </cell>
          <cell r="I26">
            <v>189046</v>
          </cell>
          <cell r="J26">
            <v>193076</v>
          </cell>
        </row>
        <row r="27">
          <cell r="A27">
            <v>30</v>
          </cell>
          <cell r="B27" t="str">
            <v>Hải Dương</v>
          </cell>
          <cell r="C27">
            <v>259569</v>
          </cell>
          <cell r="D27">
            <v>291418</v>
          </cell>
          <cell r="E27">
            <v>327928</v>
          </cell>
          <cell r="F27">
            <v>294291</v>
          </cell>
          <cell r="G27">
            <v>311196</v>
          </cell>
          <cell r="H27">
            <v>315681</v>
          </cell>
          <cell r="I27">
            <v>341104</v>
          </cell>
          <cell r="J27">
            <v>354606</v>
          </cell>
        </row>
        <row r="28">
          <cell r="A28">
            <v>31</v>
          </cell>
          <cell r="B28" t="str">
            <v>Hải Phòng</v>
          </cell>
          <cell r="C28">
            <v>280057</v>
          </cell>
          <cell r="D28">
            <v>278731</v>
          </cell>
          <cell r="E28">
            <v>306543</v>
          </cell>
          <cell r="F28">
            <v>301713</v>
          </cell>
          <cell r="G28">
            <v>323141</v>
          </cell>
          <cell r="H28">
            <v>321232</v>
          </cell>
          <cell r="I28">
            <v>346204</v>
          </cell>
          <cell r="J28">
            <v>381818</v>
          </cell>
        </row>
        <row r="29">
          <cell r="A29">
            <v>33</v>
          </cell>
          <cell r="B29" t="str">
            <v>Hưng Yên</v>
          </cell>
          <cell r="C29">
            <v>184037</v>
          </cell>
          <cell r="D29">
            <v>188014</v>
          </cell>
          <cell r="E29">
            <v>204204</v>
          </cell>
          <cell r="F29">
            <v>184315</v>
          </cell>
          <cell r="G29">
            <v>194207</v>
          </cell>
          <cell r="H29">
            <v>194684</v>
          </cell>
          <cell r="I29">
            <v>213345</v>
          </cell>
          <cell r="J29">
            <v>216257</v>
          </cell>
        </row>
        <row r="30">
          <cell r="A30">
            <v>34</v>
          </cell>
          <cell r="B30" t="str">
            <v>Thái Bình</v>
          </cell>
          <cell r="C30">
            <v>350786</v>
          </cell>
          <cell r="D30">
            <v>372104</v>
          </cell>
          <cell r="E30">
            <v>402118</v>
          </cell>
          <cell r="F30">
            <v>347830</v>
          </cell>
          <cell r="G30">
            <v>383301</v>
          </cell>
          <cell r="H30">
            <v>390854</v>
          </cell>
          <cell r="I30">
            <v>395550</v>
          </cell>
          <cell r="J30">
            <v>416958</v>
          </cell>
        </row>
        <row r="31">
          <cell r="A31">
            <v>35</v>
          </cell>
          <cell r="B31" t="str">
            <v>Hà Nam</v>
          </cell>
          <cell r="C31">
            <v>129513</v>
          </cell>
          <cell r="D31">
            <v>138630</v>
          </cell>
          <cell r="E31">
            <v>146039</v>
          </cell>
          <cell r="F31">
            <v>137418</v>
          </cell>
          <cell r="G31">
            <v>145243</v>
          </cell>
          <cell r="H31">
            <v>152458</v>
          </cell>
          <cell r="I31">
            <v>159250</v>
          </cell>
          <cell r="J31">
            <v>164842</v>
          </cell>
        </row>
        <row r="32">
          <cell r="A32">
            <v>36</v>
          </cell>
          <cell r="B32" t="str">
            <v>Nam Định</v>
          </cell>
          <cell r="C32">
            <v>334819</v>
          </cell>
          <cell r="D32">
            <v>345960</v>
          </cell>
          <cell r="E32">
            <v>375201</v>
          </cell>
          <cell r="F32">
            <v>320294</v>
          </cell>
          <cell r="G32">
            <v>344558</v>
          </cell>
          <cell r="H32">
            <v>328208</v>
          </cell>
          <cell r="I32">
            <v>363962</v>
          </cell>
          <cell r="J32">
            <v>412172</v>
          </cell>
        </row>
        <row r="33">
          <cell r="A33">
            <v>37</v>
          </cell>
          <cell r="B33" t="str">
            <v>Ninh Bình</v>
          </cell>
          <cell r="C33">
            <v>157860</v>
          </cell>
          <cell r="D33">
            <v>173866</v>
          </cell>
          <cell r="E33">
            <v>187117</v>
          </cell>
          <cell r="F33">
            <v>151049</v>
          </cell>
          <cell r="G33">
            <v>167340</v>
          </cell>
          <cell r="H33">
            <v>170535</v>
          </cell>
          <cell r="I33">
            <v>170991</v>
          </cell>
          <cell r="J33">
            <v>191804</v>
          </cell>
        </row>
        <row r="34">
          <cell r="A34">
            <v>38</v>
          </cell>
          <cell r="B34" t="str">
            <v>Thanh Hoá</v>
          </cell>
          <cell r="C34">
            <v>506325</v>
          </cell>
          <cell r="D34">
            <v>524705</v>
          </cell>
          <cell r="E34">
            <v>556129</v>
          </cell>
          <cell r="F34">
            <v>514233</v>
          </cell>
          <cell r="G34">
            <v>534960</v>
          </cell>
          <cell r="H34">
            <v>587682</v>
          </cell>
          <cell r="I34">
            <v>563980</v>
          </cell>
          <cell r="J34">
            <v>632819</v>
          </cell>
        </row>
        <row r="35">
          <cell r="A35">
            <v>40</v>
          </cell>
          <cell r="B35" t="str">
            <v>Nghệ An</v>
          </cell>
          <cell r="C35">
            <v>367039</v>
          </cell>
          <cell r="D35">
            <v>405508</v>
          </cell>
          <cell r="E35">
            <v>421323</v>
          </cell>
          <cell r="F35">
            <v>408847</v>
          </cell>
          <cell r="G35">
            <v>394621</v>
          </cell>
          <cell r="H35">
            <v>460122</v>
          </cell>
          <cell r="I35">
            <v>455063</v>
          </cell>
          <cell r="J35">
            <v>502464</v>
          </cell>
        </row>
        <row r="36">
          <cell r="A36">
            <v>42</v>
          </cell>
          <cell r="B36" t="str">
            <v>Hà Tĩnh</v>
          </cell>
          <cell r="C36">
            <v>216190</v>
          </cell>
          <cell r="D36">
            <v>208500</v>
          </cell>
          <cell r="E36">
            <v>213099</v>
          </cell>
          <cell r="F36">
            <v>204760</v>
          </cell>
          <cell r="G36">
            <v>210887</v>
          </cell>
          <cell r="H36">
            <v>213390</v>
          </cell>
          <cell r="I36">
            <v>232450</v>
          </cell>
          <cell r="J36">
            <v>228472</v>
          </cell>
        </row>
        <row r="37">
          <cell r="A37">
            <v>44</v>
          </cell>
          <cell r="B37" t="str">
            <v>Quảng Bình</v>
          </cell>
          <cell r="C37">
            <v>106306</v>
          </cell>
          <cell r="D37">
            <v>116930</v>
          </cell>
          <cell r="E37">
            <v>124704</v>
          </cell>
          <cell r="F37">
            <v>114284</v>
          </cell>
          <cell r="G37">
            <v>119978</v>
          </cell>
          <cell r="H37">
            <v>122744</v>
          </cell>
          <cell r="I37">
            <v>126302</v>
          </cell>
          <cell r="J37">
            <v>135681</v>
          </cell>
        </row>
        <row r="38">
          <cell r="A38">
            <v>45</v>
          </cell>
          <cell r="B38" t="str">
            <v>Quảng Trị</v>
          </cell>
          <cell r="C38">
            <v>82965</v>
          </cell>
          <cell r="D38">
            <v>87717</v>
          </cell>
          <cell r="E38">
            <v>90210</v>
          </cell>
          <cell r="F38">
            <v>87305</v>
          </cell>
          <cell r="G38">
            <v>84731</v>
          </cell>
          <cell r="H38">
            <v>85475</v>
          </cell>
          <cell r="I38">
            <v>86410</v>
          </cell>
          <cell r="J38">
            <v>97211</v>
          </cell>
        </row>
        <row r="39">
          <cell r="A39">
            <v>46</v>
          </cell>
          <cell r="B39" t="str">
            <v>Thừa Thiên Huế</v>
          </cell>
          <cell r="C39">
            <v>154939</v>
          </cell>
          <cell r="D39">
            <v>161467</v>
          </cell>
          <cell r="E39">
            <v>173977</v>
          </cell>
          <cell r="F39">
            <v>153049</v>
          </cell>
          <cell r="G39">
            <v>158853</v>
          </cell>
          <cell r="H39">
            <v>157371</v>
          </cell>
          <cell r="I39">
            <v>153515</v>
          </cell>
          <cell r="J39">
            <v>176073</v>
          </cell>
        </row>
        <row r="40">
          <cell r="A40">
            <v>48</v>
          </cell>
          <cell r="B40" t="str">
            <v>Đà Nẵng</v>
          </cell>
          <cell r="C40">
            <v>111541</v>
          </cell>
          <cell r="D40">
            <v>120885</v>
          </cell>
          <cell r="E40">
            <v>132658</v>
          </cell>
          <cell r="F40">
            <v>112747</v>
          </cell>
          <cell r="G40">
            <v>118891</v>
          </cell>
          <cell r="H40">
            <v>129539</v>
          </cell>
          <cell r="I40">
            <v>130210</v>
          </cell>
          <cell r="J40">
            <v>146300</v>
          </cell>
        </row>
        <row r="41">
          <cell r="A41">
            <v>49</v>
          </cell>
          <cell r="B41" t="str">
            <v>Quảng Nam</v>
          </cell>
          <cell r="C41">
            <v>210061</v>
          </cell>
          <cell r="D41">
            <v>230559</v>
          </cell>
          <cell r="E41">
            <v>233881</v>
          </cell>
          <cell r="F41">
            <v>218648</v>
          </cell>
          <cell r="G41">
            <v>213786</v>
          </cell>
          <cell r="H41">
            <v>215527</v>
          </cell>
          <cell r="I41">
            <v>214109</v>
          </cell>
          <cell r="J41">
            <v>229701</v>
          </cell>
        </row>
        <row r="42">
          <cell r="A42">
            <v>51</v>
          </cell>
          <cell r="B42" t="str">
            <v>Quảng Ngãi</v>
          </cell>
          <cell r="C42">
            <v>200223</v>
          </cell>
          <cell r="D42">
            <v>193940</v>
          </cell>
          <cell r="E42">
            <v>206409</v>
          </cell>
          <cell r="F42">
            <v>180294</v>
          </cell>
          <cell r="G42">
            <v>181261</v>
          </cell>
          <cell r="H42">
            <v>184701</v>
          </cell>
          <cell r="I42">
            <v>175654</v>
          </cell>
          <cell r="J42">
            <v>190317</v>
          </cell>
        </row>
        <row r="43">
          <cell r="A43">
            <v>52</v>
          </cell>
          <cell r="B43" t="str">
            <v>Bình Định</v>
          </cell>
          <cell r="C43">
            <v>218750</v>
          </cell>
          <cell r="D43">
            <v>232917</v>
          </cell>
          <cell r="E43">
            <v>247736</v>
          </cell>
          <cell r="F43">
            <v>210809</v>
          </cell>
          <cell r="G43">
            <v>202549</v>
          </cell>
          <cell r="H43">
            <v>214468</v>
          </cell>
          <cell r="I43">
            <v>232124</v>
          </cell>
          <cell r="J43">
            <v>235782</v>
          </cell>
        </row>
        <row r="44">
          <cell r="A44">
            <v>54</v>
          </cell>
          <cell r="B44" t="str">
            <v>Phú Yên</v>
          </cell>
          <cell r="C44">
            <v>110883</v>
          </cell>
          <cell r="D44">
            <v>113939</v>
          </cell>
          <cell r="E44">
            <v>122126</v>
          </cell>
          <cell r="F44">
            <v>105551</v>
          </cell>
          <cell r="G44">
            <v>112920</v>
          </cell>
          <cell r="H44">
            <v>112871</v>
          </cell>
          <cell r="I44">
            <v>108186</v>
          </cell>
          <cell r="J44">
            <v>118677</v>
          </cell>
        </row>
        <row r="45">
          <cell r="A45">
            <v>56</v>
          </cell>
          <cell r="B45" t="str">
            <v>Khánh Hoà</v>
          </cell>
          <cell r="C45">
            <v>135413</v>
          </cell>
          <cell r="D45">
            <v>141221</v>
          </cell>
          <cell r="E45">
            <v>158233</v>
          </cell>
          <cell r="F45">
            <v>138331</v>
          </cell>
          <cell r="G45">
            <v>141814</v>
          </cell>
          <cell r="H45">
            <v>145798</v>
          </cell>
          <cell r="I45">
            <v>156909</v>
          </cell>
          <cell r="J45">
            <v>173871</v>
          </cell>
        </row>
        <row r="46">
          <cell r="A46">
            <v>58</v>
          </cell>
          <cell r="B46" t="str">
            <v>Ninh Thuận</v>
          </cell>
          <cell r="C46">
            <v>56537</v>
          </cell>
          <cell r="D46">
            <v>59632</v>
          </cell>
          <cell r="E46">
            <v>62565</v>
          </cell>
          <cell r="F46">
            <v>56488</v>
          </cell>
          <cell r="G46">
            <v>56864</v>
          </cell>
          <cell r="H46">
            <v>61082</v>
          </cell>
          <cell r="I46">
            <v>68970</v>
          </cell>
          <cell r="J46">
            <v>68833</v>
          </cell>
        </row>
        <row r="47">
          <cell r="A47">
            <v>60</v>
          </cell>
          <cell r="B47" t="str">
            <v>Bình Thuận</v>
          </cell>
          <cell r="C47">
            <v>120478</v>
          </cell>
          <cell r="D47">
            <v>126852</v>
          </cell>
          <cell r="E47">
            <v>141529</v>
          </cell>
          <cell r="F47">
            <v>126543</v>
          </cell>
          <cell r="G47">
            <v>129407</v>
          </cell>
          <cell r="H47">
            <v>129472</v>
          </cell>
          <cell r="I47">
            <v>127882</v>
          </cell>
          <cell r="J47">
            <v>143075</v>
          </cell>
        </row>
        <row r="48">
          <cell r="A48">
            <v>62</v>
          </cell>
          <cell r="B48" t="str">
            <v>Kon Tum</v>
          </cell>
          <cell r="C48">
            <v>33785</v>
          </cell>
          <cell r="D48">
            <v>40154</v>
          </cell>
          <cell r="E48">
            <v>42982</v>
          </cell>
          <cell r="F48">
            <v>37218</v>
          </cell>
          <cell r="G48">
            <v>39237</v>
          </cell>
          <cell r="H48">
            <v>40170</v>
          </cell>
          <cell r="I48">
            <v>46151</v>
          </cell>
          <cell r="J48">
            <v>48049</v>
          </cell>
        </row>
        <row r="49">
          <cell r="A49">
            <v>64</v>
          </cell>
          <cell r="B49" t="str">
            <v>Gia Lai</v>
          </cell>
          <cell r="C49">
            <v>106417</v>
          </cell>
          <cell r="D49">
            <v>109386</v>
          </cell>
          <cell r="E49">
            <v>116833</v>
          </cell>
          <cell r="F49">
            <v>114506</v>
          </cell>
          <cell r="G49">
            <v>112619</v>
          </cell>
          <cell r="H49">
            <v>127373</v>
          </cell>
          <cell r="I49">
            <v>130721</v>
          </cell>
          <cell r="J49">
            <v>142254</v>
          </cell>
        </row>
        <row r="50">
          <cell r="A50">
            <v>66</v>
          </cell>
          <cell r="B50" t="str">
            <v>Đắk Lắk</v>
          </cell>
          <cell r="C50">
            <v>156543</v>
          </cell>
          <cell r="D50">
            <v>168865</v>
          </cell>
          <cell r="E50">
            <v>180174</v>
          </cell>
          <cell r="F50">
            <v>167234</v>
          </cell>
          <cell r="G50">
            <v>163666</v>
          </cell>
          <cell r="H50">
            <v>193226</v>
          </cell>
          <cell r="I50">
            <v>183800</v>
          </cell>
          <cell r="J50">
            <v>220734</v>
          </cell>
        </row>
        <row r="51">
          <cell r="A51">
            <v>67</v>
          </cell>
          <cell r="B51" t="str">
            <v>Đắk Nông</v>
          </cell>
          <cell r="C51">
            <v>38415</v>
          </cell>
          <cell r="D51">
            <v>38584</v>
          </cell>
          <cell r="E51">
            <v>44195</v>
          </cell>
          <cell r="F51">
            <v>38883</v>
          </cell>
          <cell r="G51">
            <v>41319</v>
          </cell>
          <cell r="H51">
            <v>46050</v>
          </cell>
          <cell r="I51">
            <v>47773</v>
          </cell>
          <cell r="J51">
            <v>50401</v>
          </cell>
        </row>
        <row r="52">
          <cell r="A52">
            <v>68</v>
          </cell>
          <cell r="B52" t="str">
            <v>Lâm Đồng</v>
          </cell>
          <cell r="C52">
            <v>117879</v>
          </cell>
          <cell r="D52">
            <v>132428</v>
          </cell>
          <cell r="E52">
            <v>141455</v>
          </cell>
          <cell r="F52">
            <v>123295</v>
          </cell>
          <cell r="G52">
            <v>118620</v>
          </cell>
          <cell r="H52">
            <v>137132</v>
          </cell>
          <cell r="I52">
            <v>144952</v>
          </cell>
          <cell r="J52">
            <v>156720</v>
          </cell>
        </row>
        <row r="53">
          <cell r="A53">
            <v>70</v>
          </cell>
          <cell r="B53" t="str">
            <v>Bình Phước</v>
          </cell>
          <cell r="C53">
            <v>75628</v>
          </cell>
          <cell r="D53">
            <v>82703</v>
          </cell>
          <cell r="E53">
            <v>98442</v>
          </cell>
          <cell r="F53">
            <v>86671</v>
          </cell>
          <cell r="G53">
            <v>96589</v>
          </cell>
          <cell r="H53">
            <v>96166</v>
          </cell>
          <cell r="I53">
            <v>95125</v>
          </cell>
          <cell r="J53">
            <v>113697</v>
          </cell>
        </row>
        <row r="54">
          <cell r="A54">
            <v>72</v>
          </cell>
          <cell r="B54" t="str">
            <v>Tây Ninh</v>
          </cell>
          <cell r="C54">
            <v>122683</v>
          </cell>
          <cell r="D54">
            <v>131915</v>
          </cell>
          <cell r="E54">
            <v>143051</v>
          </cell>
          <cell r="F54">
            <v>130524</v>
          </cell>
          <cell r="G54">
            <v>137057</v>
          </cell>
          <cell r="H54">
            <v>136634</v>
          </cell>
          <cell r="I54">
            <v>139294</v>
          </cell>
          <cell r="J54">
            <v>157443</v>
          </cell>
        </row>
        <row r="55">
          <cell r="A55">
            <v>74</v>
          </cell>
          <cell r="B55" t="str">
            <v>Bình Dương</v>
          </cell>
          <cell r="C55">
            <v>135214</v>
          </cell>
          <cell r="D55">
            <v>158668</v>
          </cell>
          <cell r="E55">
            <v>167333</v>
          </cell>
          <cell r="F55">
            <v>131752</v>
          </cell>
          <cell r="G55">
            <v>139450</v>
          </cell>
          <cell r="H55">
            <v>159147</v>
          </cell>
          <cell r="I55">
            <v>184989</v>
          </cell>
          <cell r="J55">
            <v>183282</v>
          </cell>
        </row>
        <row r="56">
          <cell r="A56">
            <v>75</v>
          </cell>
          <cell r="B56" t="str">
            <v>Đồng Nai</v>
          </cell>
          <cell r="C56">
            <v>266737</v>
          </cell>
          <cell r="D56">
            <v>318004</v>
          </cell>
          <cell r="E56">
            <v>345818</v>
          </cell>
          <cell r="F56">
            <v>278159</v>
          </cell>
          <cell r="G56">
            <v>303148</v>
          </cell>
          <cell r="H56">
            <v>313612</v>
          </cell>
          <cell r="I56">
            <v>317848</v>
          </cell>
          <cell r="J56">
            <v>339305</v>
          </cell>
        </row>
        <row r="57">
          <cell r="A57">
            <v>77</v>
          </cell>
          <cell r="B57" t="str">
            <v>Bà Rịa-Vũng Tàu(***)</v>
          </cell>
          <cell r="C57">
            <v>110489</v>
          </cell>
          <cell r="D57">
            <v>113794</v>
          </cell>
          <cell r="E57">
            <v>129702</v>
          </cell>
          <cell r="F57">
            <v>118588</v>
          </cell>
          <cell r="G57">
            <v>122321</v>
          </cell>
          <cell r="H57">
            <v>136113</v>
          </cell>
          <cell r="I57">
            <v>135974</v>
          </cell>
          <cell r="J57">
            <v>142276</v>
          </cell>
        </row>
        <row r="58">
          <cell r="A58">
            <v>79</v>
          </cell>
          <cell r="B58" t="str">
            <v>TP Hồ Chí Minh</v>
          </cell>
          <cell r="C58">
            <v>844687</v>
          </cell>
          <cell r="D58">
            <v>933778</v>
          </cell>
          <cell r="E58">
            <v>1011896</v>
          </cell>
          <cell r="F58">
            <v>841005</v>
          </cell>
          <cell r="G58">
            <v>995019</v>
          </cell>
          <cell r="H58">
            <v>981880</v>
          </cell>
          <cell r="I58">
            <v>1030354</v>
          </cell>
          <cell r="J58">
            <v>1117178</v>
          </cell>
        </row>
        <row r="59">
          <cell r="A59">
            <v>80</v>
          </cell>
          <cell r="B59" t="str">
            <v>Long An</v>
          </cell>
          <cell r="C59">
            <v>182637</v>
          </cell>
          <cell r="D59">
            <v>196297</v>
          </cell>
          <cell r="E59">
            <v>211335</v>
          </cell>
          <cell r="F59">
            <v>204545</v>
          </cell>
          <cell r="G59">
            <v>206744</v>
          </cell>
          <cell r="H59">
            <v>218818</v>
          </cell>
          <cell r="I59">
            <v>225610</v>
          </cell>
          <cell r="J59">
            <v>239044</v>
          </cell>
        </row>
        <row r="60">
          <cell r="A60">
            <v>82</v>
          </cell>
          <cell r="B60" t="str">
            <v>Tiền Giang</v>
          </cell>
          <cell r="C60">
            <v>222841</v>
          </cell>
          <cell r="D60">
            <v>228889</v>
          </cell>
          <cell r="E60">
            <v>243812</v>
          </cell>
          <cell r="F60">
            <v>242013</v>
          </cell>
          <cell r="G60">
            <v>244525</v>
          </cell>
          <cell r="H60">
            <v>256905</v>
          </cell>
          <cell r="I60">
            <v>249289</v>
          </cell>
          <cell r="J60">
            <v>278634</v>
          </cell>
        </row>
        <row r="61">
          <cell r="A61">
            <v>83</v>
          </cell>
          <cell r="B61" t="str">
            <v>Bến Tre</v>
          </cell>
          <cell r="C61">
            <v>182208</v>
          </cell>
          <cell r="D61">
            <v>195972</v>
          </cell>
          <cell r="E61">
            <v>206311</v>
          </cell>
          <cell r="F61">
            <v>199292</v>
          </cell>
          <cell r="G61">
            <v>201036</v>
          </cell>
          <cell r="H61">
            <v>202955</v>
          </cell>
          <cell r="I61">
            <v>213928</v>
          </cell>
          <cell r="J61">
            <v>228311</v>
          </cell>
        </row>
        <row r="62">
          <cell r="A62">
            <v>84</v>
          </cell>
          <cell r="B62" t="str">
            <v>Trà Vinh</v>
          </cell>
          <cell r="C62">
            <v>136645</v>
          </cell>
          <cell r="D62">
            <v>145662</v>
          </cell>
          <cell r="E62">
            <v>154421</v>
          </cell>
          <cell r="F62">
            <v>136707</v>
          </cell>
          <cell r="G62">
            <v>142144</v>
          </cell>
          <cell r="H62">
            <v>145718</v>
          </cell>
          <cell r="I62">
            <v>150476</v>
          </cell>
          <cell r="J62">
            <v>157527</v>
          </cell>
        </row>
        <row r="63">
          <cell r="A63">
            <v>86</v>
          </cell>
          <cell r="B63" t="str">
            <v>Vĩnh Long</v>
          </cell>
          <cell r="C63">
            <v>146316</v>
          </cell>
          <cell r="D63">
            <v>155083</v>
          </cell>
          <cell r="E63">
            <v>163860</v>
          </cell>
          <cell r="F63">
            <v>153222</v>
          </cell>
          <cell r="G63">
            <v>160397</v>
          </cell>
          <cell r="H63">
            <v>159404</v>
          </cell>
          <cell r="I63">
            <v>161792</v>
          </cell>
          <cell r="J63">
            <v>178926</v>
          </cell>
        </row>
        <row r="64">
          <cell r="A64">
            <v>87</v>
          </cell>
          <cell r="B64" t="str">
            <v>Đồng Tháp</v>
          </cell>
          <cell r="C64">
            <v>200340</v>
          </cell>
          <cell r="D64">
            <v>217376</v>
          </cell>
          <cell r="E64">
            <v>232371</v>
          </cell>
          <cell r="F64">
            <v>207695</v>
          </cell>
          <cell r="G64">
            <v>204762</v>
          </cell>
          <cell r="H64">
            <v>215417</v>
          </cell>
          <cell r="I64">
            <v>231198</v>
          </cell>
          <cell r="J64">
            <v>241746</v>
          </cell>
        </row>
        <row r="65">
          <cell r="A65">
            <v>89</v>
          </cell>
          <cell r="B65" t="str">
            <v>An Giang</v>
          </cell>
          <cell r="C65">
            <v>258265</v>
          </cell>
          <cell r="D65">
            <v>277974</v>
          </cell>
          <cell r="E65">
            <v>295609</v>
          </cell>
          <cell r="F65">
            <v>238784</v>
          </cell>
          <cell r="G65">
            <v>248879</v>
          </cell>
          <cell r="H65">
            <v>259513</v>
          </cell>
          <cell r="I65">
            <v>253860</v>
          </cell>
          <cell r="J65">
            <v>272372</v>
          </cell>
        </row>
        <row r="66">
          <cell r="A66">
            <v>91</v>
          </cell>
          <cell r="B66" t="str">
            <v>Kiên Giang</v>
          </cell>
          <cell r="C66">
            <v>194593</v>
          </cell>
          <cell r="D66">
            <v>210406</v>
          </cell>
          <cell r="E66">
            <v>222600</v>
          </cell>
          <cell r="F66">
            <v>183135</v>
          </cell>
          <cell r="G66">
            <v>200675</v>
          </cell>
          <cell r="H66">
            <v>205644</v>
          </cell>
          <cell r="I66">
            <v>213804</v>
          </cell>
          <cell r="J66">
            <v>237299</v>
          </cell>
        </row>
        <row r="67">
          <cell r="A67">
            <v>92</v>
          </cell>
          <cell r="B67" t="str">
            <v>Cần Thơ</v>
          </cell>
          <cell r="C67">
            <v>151689</v>
          </cell>
          <cell r="D67">
            <v>161871</v>
          </cell>
          <cell r="E67">
            <v>178523</v>
          </cell>
          <cell r="F67">
            <v>147915</v>
          </cell>
          <cell r="G67">
            <v>161831</v>
          </cell>
          <cell r="H67">
            <v>156150</v>
          </cell>
          <cell r="I67">
            <v>163007</v>
          </cell>
          <cell r="J67">
            <v>173880</v>
          </cell>
        </row>
        <row r="68">
          <cell r="A68">
            <v>93</v>
          </cell>
          <cell r="B68" t="str">
            <v>Hậu Giang</v>
          </cell>
          <cell r="C68">
            <v>96631</v>
          </cell>
          <cell r="D68">
            <v>105568</v>
          </cell>
          <cell r="E68">
            <v>113279</v>
          </cell>
          <cell r="F68">
            <v>99080</v>
          </cell>
          <cell r="G68">
            <v>96379</v>
          </cell>
          <cell r="H68">
            <v>103025</v>
          </cell>
          <cell r="I68">
            <v>105530</v>
          </cell>
          <cell r="J68">
            <v>115905</v>
          </cell>
        </row>
        <row r="69">
          <cell r="A69">
            <v>94</v>
          </cell>
          <cell r="B69" t="str">
            <v>Sóc Trăng</v>
          </cell>
          <cell r="C69">
            <v>164242</v>
          </cell>
          <cell r="D69">
            <v>170268</v>
          </cell>
          <cell r="E69">
            <v>187893</v>
          </cell>
          <cell r="F69">
            <v>163447</v>
          </cell>
          <cell r="G69">
            <v>166047</v>
          </cell>
          <cell r="H69">
            <v>171648</v>
          </cell>
          <cell r="I69">
            <v>179137</v>
          </cell>
          <cell r="J69">
            <v>194598</v>
          </cell>
        </row>
        <row r="70">
          <cell r="A70">
            <v>95</v>
          </cell>
          <cell r="B70" t="str">
            <v>Bạc Liêu</v>
          </cell>
          <cell r="C70">
            <v>110425</v>
          </cell>
          <cell r="D70">
            <v>122052</v>
          </cell>
          <cell r="E70">
            <v>128801</v>
          </cell>
          <cell r="F70">
            <v>108153</v>
          </cell>
          <cell r="G70">
            <v>115859</v>
          </cell>
          <cell r="H70">
            <v>120775</v>
          </cell>
          <cell r="I70">
            <v>126312</v>
          </cell>
          <cell r="J70">
            <v>137786</v>
          </cell>
        </row>
        <row r="71">
          <cell r="A71">
            <v>96</v>
          </cell>
          <cell r="B71" t="str">
            <v>Cà Mau</v>
          </cell>
          <cell r="C71">
            <v>140472</v>
          </cell>
          <cell r="D71">
            <v>150182</v>
          </cell>
          <cell r="E71">
            <v>166255</v>
          </cell>
          <cell r="F71">
            <v>142996</v>
          </cell>
          <cell r="G71">
            <v>150788</v>
          </cell>
          <cell r="H71">
            <v>155083</v>
          </cell>
          <cell r="I71">
            <v>162372</v>
          </cell>
          <cell r="J71">
            <v>187480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10">
          <cell r="A10" t="str">
            <v>01</v>
          </cell>
          <cell r="B10" t="str">
            <v>Hà Nội</v>
          </cell>
          <cell r="C10">
            <v>419873</v>
          </cell>
          <cell r="D10">
            <v>531659</v>
          </cell>
          <cell r="E10">
            <v>475526</v>
          </cell>
          <cell r="F10">
            <v>587677</v>
          </cell>
          <cell r="G10">
            <v>529940</v>
          </cell>
          <cell r="H10">
            <v>664389</v>
          </cell>
          <cell r="I10">
            <v>440834</v>
          </cell>
          <cell r="J10">
            <v>573396</v>
          </cell>
          <cell r="K10">
            <v>482886</v>
          </cell>
          <cell r="L10">
            <v>624159</v>
          </cell>
          <cell r="M10">
            <v>516564</v>
          </cell>
          <cell r="N10">
            <v>655088</v>
          </cell>
          <cell r="O10">
            <v>532608</v>
          </cell>
          <cell r="P10">
            <v>676658</v>
          </cell>
          <cell r="Q10">
            <v>581261</v>
          </cell>
          <cell r="R10">
            <v>702781</v>
          </cell>
        </row>
        <row r="11">
          <cell r="A11" t="str">
            <v>02</v>
          </cell>
          <cell r="B11" t="str">
            <v>Hà Giang</v>
          </cell>
          <cell r="C11">
            <v>24576</v>
          </cell>
          <cell r="D11">
            <v>33921</v>
          </cell>
          <cell r="E11">
            <v>22387</v>
          </cell>
          <cell r="F11">
            <v>35159</v>
          </cell>
          <cell r="G11">
            <v>24052</v>
          </cell>
          <cell r="H11">
            <v>36729</v>
          </cell>
          <cell r="I11">
            <v>24591</v>
          </cell>
          <cell r="J11">
            <v>37899</v>
          </cell>
          <cell r="K11">
            <v>25234</v>
          </cell>
          <cell r="L11">
            <v>37184</v>
          </cell>
          <cell r="M11">
            <v>25249</v>
          </cell>
          <cell r="N11">
            <v>37754</v>
          </cell>
          <cell r="O11">
            <v>25161</v>
          </cell>
          <cell r="P11">
            <v>39313</v>
          </cell>
          <cell r="Q11">
            <v>28240</v>
          </cell>
          <cell r="R11">
            <v>40013</v>
          </cell>
        </row>
        <row r="12">
          <cell r="A12" t="str">
            <v>04</v>
          </cell>
          <cell r="B12" t="str">
            <v>Cao Bằng</v>
          </cell>
          <cell r="C12">
            <v>19776</v>
          </cell>
          <cell r="D12">
            <v>31458</v>
          </cell>
          <cell r="E12">
            <v>20587</v>
          </cell>
          <cell r="F12">
            <v>35229</v>
          </cell>
          <cell r="G12">
            <v>22332</v>
          </cell>
          <cell r="H12">
            <v>37250</v>
          </cell>
          <cell r="I12">
            <v>22080</v>
          </cell>
          <cell r="J12">
            <v>35307</v>
          </cell>
          <cell r="K12">
            <v>22521</v>
          </cell>
          <cell r="L12">
            <v>35324</v>
          </cell>
          <cell r="M12">
            <v>25185</v>
          </cell>
          <cell r="N12">
            <v>39914</v>
          </cell>
          <cell r="O12">
            <v>25807</v>
          </cell>
          <cell r="P12">
            <v>40947</v>
          </cell>
          <cell r="Q12">
            <v>27363</v>
          </cell>
          <cell r="R12">
            <v>39309</v>
          </cell>
        </row>
        <row r="13">
          <cell r="A13">
            <v>6</v>
          </cell>
          <cell r="B13" t="str">
            <v>Bắc Kạn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</row>
        <row r="14">
          <cell r="A14" t="str">
            <v>08</v>
          </cell>
          <cell r="B14" t="str">
            <v>Tuyên Quang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>
            <v>43426</v>
          </cell>
          <cell r="R14">
            <v>59834</v>
          </cell>
        </row>
        <row r="15">
          <cell r="A15">
            <v>10</v>
          </cell>
          <cell r="B15" t="str">
            <v>Lào Cai</v>
          </cell>
          <cell r="C15">
            <v>20829</v>
          </cell>
          <cell r="D15">
            <v>28693</v>
          </cell>
          <cell r="E15">
            <v>21217</v>
          </cell>
          <cell r="F15">
            <v>31205</v>
          </cell>
          <cell r="G15">
            <v>22794</v>
          </cell>
          <cell r="H15">
            <v>32398</v>
          </cell>
          <cell r="I15">
            <v>22767</v>
          </cell>
          <cell r="J15">
            <v>32293</v>
          </cell>
          <cell r="K15">
            <v>23261</v>
          </cell>
          <cell r="L15">
            <v>32733</v>
          </cell>
          <cell r="M15">
            <v>26315</v>
          </cell>
          <cell r="N15">
            <v>35681</v>
          </cell>
          <cell r="O15">
            <v>26411</v>
          </cell>
          <cell r="P15">
            <v>35992</v>
          </cell>
          <cell r="Q15">
            <v>29474</v>
          </cell>
          <cell r="R15">
            <v>37249</v>
          </cell>
        </row>
        <row r="16">
          <cell r="A16">
            <v>11</v>
          </cell>
          <cell r="B16" t="str">
            <v>Điện Biên</v>
          </cell>
          <cell r="C16">
            <v>15829</v>
          </cell>
          <cell r="D16">
            <v>20406</v>
          </cell>
          <cell r="E16">
            <v>14985</v>
          </cell>
          <cell r="F16">
            <v>18333</v>
          </cell>
          <cell r="G16">
            <v>17189</v>
          </cell>
          <cell r="H16">
            <v>21020</v>
          </cell>
          <cell r="I16">
            <v>17115</v>
          </cell>
          <cell r="J16">
            <v>22498</v>
          </cell>
          <cell r="K16">
            <v>18800</v>
          </cell>
          <cell r="L16">
            <v>22708</v>
          </cell>
          <cell r="M16">
            <v>18776</v>
          </cell>
          <cell r="N16">
            <v>26048</v>
          </cell>
          <cell r="O16">
            <v>20626</v>
          </cell>
          <cell r="P16">
            <v>25730</v>
          </cell>
          <cell r="Q16">
            <v>23505</v>
          </cell>
          <cell r="R16">
            <v>26748</v>
          </cell>
        </row>
        <row r="17">
          <cell r="A17">
            <v>12</v>
          </cell>
          <cell r="B17" t="str">
            <v>Lai Châu</v>
          </cell>
          <cell r="C17">
            <v>9605</v>
          </cell>
          <cell r="D17">
            <v>14302</v>
          </cell>
          <cell r="E17">
            <v>9982</v>
          </cell>
          <cell r="F17">
            <v>15367</v>
          </cell>
          <cell r="G17">
            <v>10714</v>
          </cell>
          <cell r="H17">
            <v>16781</v>
          </cell>
          <cell r="I17">
            <v>10227</v>
          </cell>
          <cell r="J17">
            <v>15557</v>
          </cell>
          <cell r="K17">
            <v>10928</v>
          </cell>
          <cell r="L17">
            <v>16465</v>
          </cell>
          <cell r="M17">
            <v>12179</v>
          </cell>
          <cell r="N17">
            <v>17957</v>
          </cell>
          <cell r="O17">
            <v>11082</v>
          </cell>
          <cell r="P17">
            <v>17322</v>
          </cell>
          <cell r="Q17">
            <v>12563</v>
          </cell>
          <cell r="R17">
            <v>17592</v>
          </cell>
        </row>
        <row r="18">
          <cell r="A18">
            <v>14</v>
          </cell>
          <cell r="B18" t="str">
            <v>Sơn La</v>
          </cell>
          <cell r="C18">
            <v>37091</v>
          </cell>
          <cell r="D18">
            <v>49528</v>
          </cell>
          <cell r="E18">
            <v>40372</v>
          </cell>
          <cell r="F18">
            <v>52479</v>
          </cell>
          <cell r="G18">
            <v>41273</v>
          </cell>
          <cell r="H18">
            <v>51024</v>
          </cell>
          <cell r="I18">
            <v>39347</v>
          </cell>
          <cell r="J18">
            <v>51625</v>
          </cell>
          <cell r="K18">
            <v>38647</v>
          </cell>
          <cell r="L18">
            <v>49837</v>
          </cell>
          <cell r="M18">
            <v>45830</v>
          </cell>
          <cell r="N18">
            <v>60798</v>
          </cell>
          <cell r="O18">
            <v>48958</v>
          </cell>
          <cell r="P18">
            <v>59831</v>
          </cell>
          <cell r="Q18">
            <v>52447</v>
          </cell>
          <cell r="R18">
            <v>65442</v>
          </cell>
        </row>
        <row r="19">
          <cell r="A19">
            <v>15</v>
          </cell>
          <cell r="B19" t="str">
            <v>Yên Bái</v>
          </cell>
          <cell r="C19">
            <v>30846</v>
          </cell>
          <cell r="D19">
            <v>44841</v>
          </cell>
          <cell r="E19">
            <v>35053</v>
          </cell>
          <cell r="F19">
            <v>52297</v>
          </cell>
          <cell r="G19">
            <v>36531</v>
          </cell>
          <cell r="H19">
            <v>53870</v>
          </cell>
          <cell r="I19">
            <v>34413</v>
          </cell>
          <cell r="J19">
            <v>50138</v>
          </cell>
          <cell r="K19">
            <v>37330</v>
          </cell>
          <cell r="L19">
            <v>50061</v>
          </cell>
          <cell r="M19">
            <v>39535</v>
          </cell>
          <cell r="N19">
            <v>53924</v>
          </cell>
          <cell r="O19">
            <v>41814</v>
          </cell>
          <cell r="P19">
            <v>57981</v>
          </cell>
          <cell r="Q19">
            <v>45074</v>
          </cell>
          <cell r="R19">
            <v>57297</v>
          </cell>
        </row>
        <row r="20">
          <cell r="A20">
            <v>17</v>
          </cell>
          <cell r="B20" t="str">
            <v>Hoà Bình</v>
          </cell>
          <cell r="C20">
            <v>32637</v>
          </cell>
          <cell r="D20">
            <v>48195</v>
          </cell>
          <cell r="E20">
            <v>35621</v>
          </cell>
          <cell r="F20">
            <v>51789</v>
          </cell>
          <cell r="G20">
            <v>37875</v>
          </cell>
          <cell r="H20">
            <v>55723</v>
          </cell>
          <cell r="I20">
            <v>38680</v>
          </cell>
          <cell r="J20">
            <v>55900</v>
          </cell>
          <cell r="K20">
            <v>40180</v>
          </cell>
          <cell r="L20">
            <v>57568</v>
          </cell>
          <cell r="M20">
            <v>44877</v>
          </cell>
          <cell r="N20">
            <v>63079</v>
          </cell>
          <cell r="O20">
            <v>48455</v>
          </cell>
          <cell r="P20">
            <v>65632</v>
          </cell>
          <cell r="Q20">
            <v>50601</v>
          </cell>
          <cell r="R20">
            <v>67900</v>
          </cell>
        </row>
        <row r="21">
          <cell r="A21">
            <v>19</v>
          </cell>
          <cell r="B21" t="str">
            <v>Thái Nguyên</v>
          </cell>
          <cell r="C21">
            <v>60958</v>
          </cell>
          <cell r="D21">
            <v>85946</v>
          </cell>
          <cell r="E21">
            <v>65972</v>
          </cell>
          <cell r="F21">
            <v>93132</v>
          </cell>
          <cell r="G21">
            <v>77711</v>
          </cell>
          <cell r="H21">
            <v>104966</v>
          </cell>
          <cell r="I21">
            <v>64717</v>
          </cell>
          <cell r="J21">
            <v>89229</v>
          </cell>
          <cell r="K21">
            <v>72884</v>
          </cell>
          <cell r="L21">
            <v>93672</v>
          </cell>
          <cell r="M21">
            <v>79362</v>
          </cell>
          <cell r="N21">
            <v>107849</v>
          </cell>
          <cell r="O21">
            <v>76716</v>
          </cell>
          <cell r="P21">
            <v>107555</v>
          </cell>
          <cell r="Q21">
            <v>90798</v>
          </cell>
          <cell r="R21">
            <v>115720</v>
          </cell>
        </row>
        <row r="22">
          <cell r="A22">
            <v>20</v>
          </cell>
          <cell r="B22" t="str">
            <v>Lạng Sơn</v>
          </cell>
          <cell r="C22">
            <v>27962</v>
          </cell>
          <cell r="D22">
            <v>45583</v>
          </cell>
          <cell r="E22">
            <v>30962</v>
          </cell>
          <cell r="F22">
            <v>48078</v>
          </cell>
          <cell r="G22">
            <v>34942</v>
          </cell>
          <cell r="H22">
            <v>53525</v>
          </cell>
          <cell r="I22">
            <v>32867</v>
          </cell>
          <cell r="J22">
            <v>50485</v>
          </cell>
          <cell r="K22">
            <v>35142</v>
          </cell>
          <cell r="L22">
            <v>53321</v>
          </cell>
          <cell r="M22">
            <v>36702</v>
          </cell>
          <cell r="N22">
            <v>55197</v>
          </cell>
          <cell r="O22">
            <v>40289</v>
          </cell>
          <cell r="P22">
            <v>57133</v>
          </cell>
          <cell r="Q22">
            <v>40396</v>
          </cell>
          <cell r="R22">
            <v>55658</v>
          </cell>
        </row>
        <row r="23">
          <cell r="A23">
            <v>22</v>
          </cell>
          <cell r="B23" t="str">
            <v>Quảng Ninh</v>
          </cell>
          <cell r="C23">
            <v>68933</v>
          </cell>
          <cell r="D23">
            <v>84836</v>
          </cell>
          <cell r="E23">
            <v>73591</v>
          </cell>
          <cell r="F23">
            <v>89860</v>
          </cell>
          <cell r="G23">
            <v>74117</v>
          </cell>
          <cell r="H23">
            <v>94397</v>
          </cell>
          <cell r="I23">
            <v>70507</v>
          </cell>
          <cell r="J23">
            <v>89314</v>
          </cell>
          <cell r="K23">
            <v>76100</v>
          </cell>
          <cell r="L23">
            <v>94084</v>
          </cell>
          <cell r="M23">
            <v>85103</v>
          </cell>
          <cell r="N23">
            <v>101958</v>
          </cell>
          <cell r="O23">
            <v>83997</v>
          </cell>
          <cell r="P23">
            <v>103261</v>
          </cell>
          <cell r="Q23">
            <v>95506</v>
          </cell>
          <cell r="R23">
            <v>108784</v>
          </cell>
        </row>
        <row r="24">
          <cell r="A24">
            <v>24</v>
          </cell>
          <cell r="B24" t="str">
            <v>Bắc Giang</v>
          </cell>
          <cell r="C24">
            <v>73226</v>
          </cell>
          <cell r="D24">
            <v>106115</v>
          </cell>
          <cell r="E24">
            <v>81982</v>
          </cell>
          <cell r="F24">
            <v>114717</v>
          </cell>
          <cell r="G24">
            <v>82463</v>
          </cell>
          <cell r="H24">
            <v>118371</v>
          </cell>
          <cell r="I24">
            <v>88676</v>
          </cell>
          <cell r="J24">
            <v>123248</v>
          </cell>
          <cell r="K24">
            <v>94236</v>
          </cell>
          <cell r="L24">
            <v>119483</v>
          </cell>
          <cell r="M24">
            <v>102542</v>
          </cell>
          <cell r="N24">
            <v>144365</v>
          </cell>
          <cell r="O24">
            <v>100698</v>
          </cell>
          <cell r="P24">
            <v>132921</v>
          </cell>
          <cell r="Q24">
            <v>113028</v>
          </cell>
          <cell r="R24">
            <v>140290</v>
          </cell>
        </row>
        <row r="25">
          <cell r="A25">
            <v>25</v>
          </cell>
          <cell r="B25" t="str">
            <v>Phú Thọ</v>
          </cell>
          <cell r="C25">
            <v>75544</v>
          </cell>
          <cell r="D25">
            <v>113131</v>
          </cell>
          <cell r="E25">
            <v>80962</v>
          </cell>
          <cell r="F25">
            <v>114513</v>
          </cell>
          <cell r="G25">
            <v>88596</v>
          </cell>
          <cell r="H25">
            <v>121695</v>
          </cell>
          <cell r="I25">
            <v>83473</v>
          </cell>
          <cell r="J25">
            <v>117355</v>
          </cell>
          <cell r="K25">
            <v>85507</v>
          </cell>
          <cell r="L25">
            <v>119292</v>
          </cell>
          <cell r="M25">
            <v>96111</v>
          </cell>
          <cell r="N25">
            <v>133766</v>
          </cell>
          <cell r="O25">
            <v>98983</v>
          </cell>
          <cell r="P25">
            <v>135832</v>
          </cell>
          <cell r="Q25">
            <v>110754</v>
          </cell>
          <cell r="R25">
            <v>145732</v>
          </cell>
        </row>
        <row r="26">
          <cell r="A26">
            <v>26</v>
          </cell>
          <cell r="B26" t="str">
            <v>Vĩnh Phúc</v>
          </cell>
          <cell r="C26">
            <v>50279</v>
          </cell>
          <cell r="D26">
            <v>77054</v>
          </cell>
          <cell r="E26">
            <v>55191</v>
          </cell>
          <cell r="F26">
            <v>80025</v>
          </cell>
          <cell r="G26">
            <v>62388</v>
          </cell>
          <cell r="H26">
            <v>94244</v>
          </cell>
          <cell r="I26">
            <v>56812</v>
          </cell>
          <cell r="J26">
            <v>82903</v>
          </cell>
          <cell r="K26">
            <v>58796</v>
          </cell>
          <cell r="L26">
            <v>85807</v>
          </cell>
          <cell r="M26">
            <v>62205</v>
          </cell>
          <cell r="N26">
            <v>87919</v>
          </cell>
          <cell r="O26">
            <v>64661</v>
          </cell>
          <cell r="P26">
            <v>89388</v>
          </cell>
          <cell r="Q26">
            <v>74168</v>
          </cell>
          <cell r="R26">
            <v>91248</v>
          </cell>
        </row>
        <row r="27">
          <cell r="A27">
            <v>27</v>
          </cell>
          <cell r="B27" t="str">
            <v>Bắc Ninh</v>
          </cell>
          <cell r="C27">
            <v>57528</v>
          </cell>
          <cell r="D27">
            <v>88171</v>
          </cell>
          <cell r="E27">
            <v>60416</v>
          </cell>
          <cell r="F27">
            <v>87921</v>
          </cell>
          <cell r="G27">
            <v>67815</v>
          </cell>
          <cell r="H27">
            <v>100782</v>
          </cell>
          <cell r="I27">
            <v>63637</v>
          </cell>
          <cell r="J27">
            <v>89027</v>
          </cell>
          <cell r="K27">
            <v>70896</v>
          </cell>
          <cell r="L27">
            <v>98189</v>
          </cell>
          <cell r="M27">
            <v>73971</v>
          </cell>
          <cell r="N27">
            <v>101814</v>
          </cell>
          <cell r="O27">
            <v>78861</v>
          </cell>
          <cell r="P27">
            <v>110184</v>
          </cell>
          <cell r="Q27">
            <v>87045</v>
          </cell>
          <cell r="R27">
            <v>106031</v>
          </cell>
        </row>
        <row r="28">
          <cell r="A28">
            <v>30</v>
          </cell>
          <cell r="B28" t="str">
            <v>Hải Dương</v>
          </cell>
          <cell r="C28">
            <v>110735</v>
          </cell>
          <cell r="D28">
            <v>148834</v>
          </cell>
          <cell r="E28">
            <v>124139</v>
          </cell>
          <cell r="F28">
            <v>167280</v>
          </cell>
          <cell r="G28">
            <v>142706</v>
          </cell>
          <cell r="H28">
            <v>185222</v>
          </cell>
          <cell r="I28">
            <v>126522</v>
          </cell>
          <cell r="J28">
            <v>167769</v>
          </cell>
          <cell r="K28">
            <v>134324</v>
          </cell>
          <cell r="L28">
            <v>176872</v>
          </cell>
          <cell r="M28">
            <v>136844</v>
          </cell>
          <cell r="N28">
            <v>178837</v>
          </cell>
          <cell r="O28">
            <v>147643</v>
          </cell>
          <cell r="P28">
            <v>193461</v>
          </cell>
          <cell r="Q28">
            <v>166115</v>
          </cell>
          <cell r="R28">
            <v>188491</v>
          </cell>
        </row>
        <row r="29">
          <cell r="A29">
            <v>31</v>
          </cell>
          <cell r="B29" t="str">
            <v>Hải Phòng</v>
          </cell>
          <cell r="C29">
            <v>122221</v>
          </cell>
          <cell r="D29">
            <v>157836</v>
          </cell>
          <cell r="E29">
            <v>122440</v>
          </cell>
          <cell r="F29">
            <v>156291</v>
          </cell>
          <cell r="G29">
            <v>133524</v>
          </cell>
          <cell r="H29">
            <v>173018</v>
          </cell>
          <cell r="I29">
            <v>132032</v>
          </cell>
          <cell r="J29">
            <v>169681</v>
          </cell>
          <cell r="K29">
            <v>138681</v>
          </cell>
          <cell r="L29">
            <v>184461</v>
          </cell>
          <cell r="M29">
            <v>142272</v>
          </cell>
          <cell r="N29">
            <v>178960</v>
          </cell>
          <cell r="O29">
            <v>150908</v>
          </cell>
          <cell r="P29">
            <v>195296</v>
          </cell>
          <cell r="Q29">
            <v>170899</v>
          </cell>
          <cell r="R29">
            <v>210919</v>
          </cell>
        </row>
        <row r="30">
          <cell r="A30">
            <v>33</v>
          </cell>
          <cell r="B30" t="str">
            <v>Hưng Yên</v>
          </cell>
          <cell r="C30">
            <v>74968</v>
          </cell>
          <cell r="D30">
            <v>109069</v>
          </cell>
          <cell r="E30">
            <v>77102</v>
          </cell>
          <cell r="F30">
            <v>110913</v>
          </cell>
          <cell r="G30">
            <v>83708</v>
          </cell>
          <cell r="H30">
            <v>120497</v>
          </cell>
          <cell r="I30">
            <v>76602</v>
          </cell>
          <cell r="J30">
            <v>107713</v>
          </cell>
          <cell r="K30">
            <v>82113</v>
          </cell>
          <cell r="L30">
            <v>112094</v>
          </cell>
          <cell r="M30">
            <v>81590</v>
          </cell>
          <cell r="N30">
            <v>113094</v>
          </cell>
          <cell r="O30">
            <v>90412</v>
          </cell>
          <cell r="P30">
            <v>122933</v>
          </cell>
          <cell r="Q30">
            <v>94003</v>
          </cell>
          <cell r="R30">
            <v>122254</v>
          </cell>
        </row>
        <row r="31">
          <cell r="A31">
            <v>34</v>
          </cell>
          <cell r="B31" t="str">
            <v>Thái Bình</v>
          </cell>
          <cell r="C31">
            <v>147217</v>
          </cell>
          <cell r="D31">
            <v>203569</v>
          </cell>
          <cell r="E31">
            <v>159648</v>
          </cell>
          <cell r="F31">
            <v>212456</v>
          </cell>
          <cell r="G31">
            <v>169476</v>
          </cell>
          <cell r="H31">
            <v>232642</v>
          </cell>
          <cell r="I31">
            <v>146792</v>
          </cell>
          <cell r="J31">
            <v>201038</v>
          </cell>
          <cell r="K31">
            <v>165482</v>
          </cell>
          <cell r="L31">
            <v>217819</v>
          </cell>
          <cell r="M31">
            <v>164316</v>
          </cell>
          <cell r="N31">
            <v>226538</v>
          </cell>
          <cell r="O31">
            <v>168582</v>
          </cell>
          <cell r="P31">
            <v>226968</v>
          </cell>
          <cell r="Q31">
            <v>182842</v>
          </cell>
          <cell r="R31">
            <v>234117</v>
          </cell>
        </row>
        <row r="32">
          <cell r="A32">
            <v>35</v>
          </cell>
          <cell r="B32" t="str">
            <v>Hà Nam</v>
          </cell>
          <cell r="C32">
            <v>54115</v>
          </cell>
          <cell r="D32">
            <v>75398</v>
          </cell>
          <cell r="E32">
            <v>56059</v>
          </cell>
          <cell r="F32">
            <v>82571</v>
          </cell>
          <cell r="G32">
            <v>61900</v>
          </cell>
          <cell r="H32">
            <v>84138</v>
          </cell>
          <cell r="I32">
            <v>57475</v>
          </cell>
          <cell r="J32">
            <v>79943</v>
          </cell>
          <cell r="K32">
            <v>59952</v>
          </cell>
          <cell r="L32">
            <v>85291</v>
          </cell>
          <cell r="M32">
            <v>63576</v>
          </cell>
          <cell r="N32">
            <v>88882</v>
          </cell>
          <cell r="O32">
            <v>67842</v>
          </cell>
          <cell r="P32">
            <v>91408</v>
          </cell>
          <cell r="Q32">
            <v>71521</v>
          </cell>
          <cell r="R32">
            <v>93321</v>
          </cell>
        </row>
        <row r="33">
          <cell r="A33">
            <v>36</v>
          </cell>
          <cell r="B33" t="str">
            <v>Nam Định</v>
          </cell>
          <cell r="C33">
            <v>143806</v>
          </cell>
          <cell r="D33">
            <v>191013</v>
          </cell>
          <cell r="E33">
            <v>147485</v>
          </cell>
          <cell r="F33">
            <v>198476</v>
          </cell>
          <cell r="G33">
            <v>161476</v>
          </cell>
          <cell r="H33">
            <v>213725</v>
          </cell>
          <cell r="I33">
            <v>137522</v>
          </cell>
          <cell r="J33">
            <v>182772</v>
          </cell>
          <cell r="K33">
            <v>144498</v>
          </cell>
          <cell r="L33">
            <v>200061</v>
          </cell>
          <cell r="M33">
            <v>142516</v>
          </cell>
          <cell r="N33">
            <v>185692</v>
          </cell>
          <cell r="O33">
            <v>158210</v>
          </cell>
          <cell r="P33">
            <v>205752</v>
          </cell>
          <cell r="Q33">
            <v>184466</v>
          </cell>
          <cell r="R33">
            <v>227706</v>
          </cell>
        </row>
        <row r="34">
          <cell r="A34">
            <v>37</v>
          </cell>
          <cell r="B34" t="str">
            <v>Ninh Bình</v>
          </cell>
          <cell r="C34">
            <v>67147</v>
          </cell>
          <cell r="D34">
            <v>90713</v>
          </cell>
          <cell r="E34">
            <v>72098</v>
          </cell>
          <cell r="F34">
            <v>101767</v>
          </cell>
          <cell r="G34">
            <v>79546</v>
          </cell>
          <cell r="H34">
            <v>107571</v>
          </cell>
          <cell r="I34">
            <v>64228</v>
          </cell>
          <cell r="J34">
            <v>86821</v>
          </cell>
          <cell r="K34">
            <v>72176</v>
          </cell>
          <cell r="L34">
            <v>95164</v>
          </cell>
          <cell r="M34">
            <v>71904</v>
          </cell>
          <cell r="N34">
            <v>98630</v>
          </cell>
          <cell r="O34">
            <v>72285</v>
          </cell>
          <cell r="P34">
            <v>98705</v>
          </cell>
          <cell r="Q34">
            <v>84913</v>
          </cell>
          <cell r="R34">
            <v>106892</v>
          </cell>
        </row>
        <row r="35">
          <cell r="A35">
            <v>38</v>
          </cell>
          <cell r="B35" t="str">
            <v>Thanh Hoá</v>
          </cell>
          <cell r="C35">
            <v>206056</v>
          </cell>
          <cell r="D35">
            <v>300269</v>
          </cell>
          <cell r="E35">
            <v>209518</v>
          </cell>
          <cell r="F35">
            <v>315187</v>
          </cell>
          <cell r="G35">
            <v>227806</v>
          </cell>
          <cell r="H35">
            <v>328323</v>
          </cell>
          <cell r="I35">
            <v>212346</v>
          </cell>
          <cell r="J35">
            <v>301887</v>
          </cell>
          <cell r="K35">
            <v>217604</v>
          </cell>
          <cell r="L35">
            <v>317356</v>
          </cell>
          <cell r="M35">
            <v>250779</v>
          </cell>
          <cell r="N35">
            <v>336902</v>
          </cell>
          <cell r="O35">
            <v>232577</v>
          </cell>
          <cell r="P35">
            <v>331403</v>
          </cell>
          <cell r="Q35">
            <v>272461</v>
          </cell>
          <cell r="R35">
            <v>360357</v>
          </cell>
        </row>
        <row r="36">
          <cell r="A36">
            <v>40</v>
          </cell>
          <cell r="B36" t="str">
            <v>Nghệ An</v>
          </cell>
          <cell r="C36">
            <v>160062</v>
          </cell>
          <cell r="D36">
            <v>206977</v>
          </cell>
          <cell r="E36">
            <v>180419</v>
          </cell>
          <cell r="F36">
            <v>225089</v>
          </cell>
          <cell r="G36">
            <v>183334</v>
          </cell>
          <cell r="H36">
            <v>237988</v>
          </cell>
          <cell r="I36">
            <v>173012</v>
          </cell>
          <cell r="J36">
            <v>235835</v>
          </cell>
          <cell r="K36">
            <v>165943</v>
          </cell>
          <cell r="L36">
            <v>228678</v>
          </cell>
          <cell r="M36">
            <v>197728</v>
          </cell>
          <cell r="N36">
            <v>262394</v>
          </cell>
          <cell r="O36">
            <v>197500</v>
          </cell>
          <cell r="P36">
            <v>257563</v>
          </cell>
          <cell r="Q36">
            <v>224877</v>
          </cell>
          <cell r="R36">
            <v>277587</v>
          </cell>
        </row>
        <row r="37">
          <cell r="A37">
            <v>42</v>
          </cell>
          <cell r="B37" t="str">
            <v>Hà Tĩnh</v>
          </cell>
          <cell r="C37">
            <v>95448</v>
          </cell>
          <cell r="D37">
            <v>120743</v>
          </cell>
          <cell r="E37">
            <v>89331</v>
          </cell>
          <cell r="F37">
            <v>119169</v>
          </cell>
          <cell r="G37">
            <v>90203</v>
          </cell>
          <cell r="H37">
            <v>122895</v>
          </cell>
          <cell r="I37">
            <v>86727</v>
          </cell>
          <cell r="J37">
            <v>118033</v>
          </cell>
          <cell r="K37">
            <v>92213</v>
          </cell>
          <cell r="L37">
            <v>118674</v>
          </cell>
          <cell r="M37">
            <v>90472</v>
          </cell>
          <cell r="N37">
            <v>122918</v>
          </cell>
          <cell r="O37">
            <v>95533</v>
          </cell>
          <cell r="P37">
            <v>136917</v>
          </cell>
          <cell r="Q37">
            <v>99427</v>
          </cell>
          <cell r="R37">
            <v>129045</v>
          </cell>
        </row>
        <row r="38">
          <cell r="A38">
            <v>44</v>
          </cell>
          <cell r="B38" t="str">
            <v>Quảng Bình</v>
          </cell>
          <cell r="C38">
            <v>45134</v>
          </cell>
          <cell r="D38">
            <v>61172</v>
          </cell>
          <cell r="E38">
            <v>50527</v>
          </cell>
          <cell r="F38">
            <v>66402</v>
          </cell>
          <cell r="G38">
            <v>54408</v>
          </cell>
          <cell r="H38">
            <v>70296</v>
          </cell>
          <cell r="I38">
            <v>50017</v>
          </cell>
          <cell r="J38">
            <v>64267</v>
          </cell>
          <cell r="K38">
            <v>54296</v>
          </cell>
          <cell r="L38">
            <v>65682</v>
          </cell>
          <cell r="M38">
            <v>51825</v>
          </cell>
          <cell r="N38">
            <v>70919</v>
          </cell>
          <cell r="O38">
            <v>55578</v>
          </cell>
          <cell r="P38">
            <v>70725</v>
          </cell>
          <cell r="Q38">
            <v>60097</v>
          </cell>
          <cell r="R38">
            <v>75584</v>
          </cell>
        </row>
        <row r="39">
          <cell r="A39">
            <v>45</v>
          </cell>
          <cell r="B39" t="str">
            <v>Quảng Trị</v>
          </cell>
          <cell r="C39">
            <v>35150</v>
          </cell>
          <cell r="D39">
            <v>47815</v>
          </cell>
          <cell r="E39">
            <v>38501</v>
          </cell>
          <cell r="F39">
            <v>49216</v>
          </cell>
          <cell r="G39">
            <v>38956</v>
          </cell>
          <cell r="H39">
            <v>51255</v>
          </cell>
          <cell r="I39">
            <v>36799</v>
          </cell>
          <cell r="J39">
            <v>50506</v>
          </cell>
          <cell r="K39">
            <v>36063</v>
          </cell>
          <cell r="L39">
            <v>48668</v>
          </cell>
          <cell r="M39">
            <v>37008</v>
          </cell>
          <cell r="N39">
            <v>48467</v>
          </cell>
          <cell r="O39">
            <v>36414</v>
          </cell>
          <cell r="P39">
            <v>49996</v>
          </cell>
          <cell r="Q39">
            <v>43364</v>
          </cell>
          <cell r="R39">
            <v>53847</v>
          </cell>
        </row>
        <row r="40">
          <cell r="A40">
            <v>46</v>
          </cell>
          <cell r="B40" t="str">
            <v>Thừa Thiên Huế</v>
          </cell>
          <cell r="C40">
            <v>64811</v>
          </cell>
          <cell r="D40">
            <v>90128</v>
          </cell>
          <cell r="E40">
            <v>66761</v>
          </cell>
          <cell r="F40">
            <v>94706</v>
          </cell>
          <cell r="G40">
            <v>72958</v>
          </cell>
          <cell r="H40">
            <v>101019</v>
          </cell>
          <cell r="I40">
            <v>63802</v>
          </cell>
          <cell r="J40">
            <v>89247</v>
          </cell>
          <cell r="K40">
            <v>65721</v>
          </cell>
          <cell r="L40">
            <v>93131</v>
          </cell>
          <cell r="M40">
            <v>65077</v>
          </cell>
          <cell r="N40">
            <v>92294</v>
          </cell>
          <cell r="O40">
            <v>62937</v>
          </cell>
          <cell r="P40">
            <v>90578</v>
          </cell>
          <cell r="Q40">
            <v>75437</v>
          </cell>
          <cell r="R40">
            <v>100636</v>
          </cell>
        </row>
        <row r="41">
          <cell r="A41">
            <v>48</v>
          </cell>
          <cell r="B41" t="str">
            <v>Đà Nẵng</v>
          </cell>
          <cell r="C41">
            <v>44851</v>
          </cell>
          <cell r="D41">
            <v>66690</v>
          </cell>
          <cell r="E41">
            <v>49987</v>
          </cell>
          <cell r="F41">
            <v>70899</v>
          </cell>
          <cell r="G41">
            <v>54151</v>
          </cell>
          <cell r="H41">
            <v>78506</v>
          </cell>
          <cell r="I41">
            <v>46441</v>
          </cell>
          <cell r="J41">
            <v>66306</v>
          </cell>
          <cell r="K41">
            <v>47771</v>
          </cell>
          <cell r="L41">
            <v>71120</v>
          </cell>
          <cell r="M41">
            <v>55311</v>
          </cell>
          <cell r="N41">
            <v>74228</v>
          </cell>
          <cell r="O41">
            <v>53813</v>
          </cell>
          <cell r="P41">
            <v>76397</v>
          </cell>
          <cell r="Q41">
            <v>64385</v>
          </cell>
          <cell r="R41">
            <v>81915</v>
          </cell>
        </row>
        <row r="42">
          <cell r="A42">
            <v>49</v>
          </cell>
          <cell r="B42" t="str">
            <v>Quảng Nam</v>
          </cell>
          <cell r="C42">
            <v>81735</v>
          </cell>
          <cell r="D42">
            <v>128326</v>
          </cell>
          <cell r="E42">
            <v>90528</v>
          </cell>
          <cell r="F42">
            <v>140032</v>
          </cell>
          <cell r="G42">
            <v>91028</v>
          </cell>
          <cell r="H42">
            <v>142852</v>
          </cell>
          <cell r="I42">
            <v>85003</v>
          </cell>
          <cell r="J42">
            <v>133645</v>
          </cell>
          <cell r="K42">
            <v>83751</v>
          </cell>
          <cell r="L42">
            <v>130035</v>
          </cell>
          <cell r="M42">
            <v>83619</v>
          </cell>
          <cell r="N42">
            <v>131908</v>
          </cell>
          <cell r="O42">
            <v>82102</v>
          </cell>
          <cell r="P42">
            <v>132007</v>
          </cell>
          <cell r="Q42">
            <v>94303</v>
          </cell>
          <cell r="R42">
            <v>135397</v>
          </cell>
        </row>
        <row r="43">
          <cell r="A43">
            <v>51</v>
          </cell>
          <cell r="B43" t="str">
            <v>Quảng Ngãi</v>
          </cell>
          <cell r="C43">
            <v>81969</v>
          </cell>
          <cell r="D43">
            <v>118253</v>
          </cell>
          <cell r="E43">
            <v>81129</v>
          </cell>
          <cell r="F43">
            <v>112811</v>
          </cell>
          <cell r="G43">
            <v>83791</v>
          </cell>
          <cell r="H43">
            <v>122619</v>
          </cell>
          <cell r="I43">
            <v>73158</v>
          </cell>
          <cell r="J43">
            <v>107136</v>
          </cell>
          <cell r="K43">
            <v>73710</v>
          </cell>
          <cell r="L43">
            <v>107550</v>
          </cell>
          <cell r="M43">
            <v>76134</v>
          </cell>
          <cell r="N43">
            <v>108566</v>
          </cell>
          <cell r="O43">
            <v>72604</v>
          </cell>
          <cell r="P43">
            <v>103050</v>
          </cell>
          <cell r="Q43">
            <v>80424</v>
          </cell>
          <cell r="R43">
            <v>109893</v>
          </cell>
        </row>
        <row r="44">
          <cell r="A44">
            <v>52</v>
          </cell>
          <cell r="B44" t="str">
            <v>Bình Định</v>
          </cell>
          <cell r="C44">
            <v>85052</v>
          </cell>
          <cell r="D44">
            <v>133698</v>
          </cell>
          <cell r="E44">
            <v>91337</v>
          </cell>
          <cell r="F44">
            <v>141580</v>
          </cell>
          <cell r="G44">
            <v>97325</v>
          </cell>
          <cell r="H44">
            <v>150411</v>
          </cell>
          <cell r="I44">
            <v>83941</v>
          </cell>
          <cell r="J44">
            <v>126868</v>
          </cell>
          <cell r="K44">
            <v>80351</v>
          </cell>
          <cell r="L44">
            <v>122198</v>
          </cell>
          <cell r="M44">
            <v>87729</v>
          </cell>
          <cell r="N44">
            <v>126739</v>
          </cell>
          <cell r="O44">
            <v>96553</v>
          </cell>
          <cell r="P44">
            <v>135570</v>
          </cell>
          <cell r="Q44">
            <v>99557</v>
          </cell>
          <cell r="R44">
            <v>136225</v>
          </cell>
        </row>
        <row r="45">
          <cell r="A45">
            <v>54</v>
          </cell>
          <cell r="B45" t="str">
            <v>Phú Yên</v>
          </cell>
          <cell r="C45">
            <v>46031</v>
          </cell>
          <cell r="D45">
            <v>64852</v>
          </cell>
          <cell r="E45">
            <v>47910</v>
          </cell>
          <cell r="F45">
            <v>66029</v>
          </cell>
          <cell r="G45">
            <v>50566</v>
          </cell>
          <cell r="H45">
            <v>71560</v>
          </cell>
          <cell r="I45">
            <v>43716</v>
          </cell>
          <cell r="J45">
            <v>61835</v>
          </cell>
          <cell r="K45">
            <v>47064</v>
          </cell>
          <cell r="L45">
            <v>65856</v>
          </cell>
          <cell r="M45">
            <v>47144</v>
          </cell>
          <cell r="N45">
            <v>65727</v>
          </cell>
          <cell r="O45">
            <v>44976</v>
          </cell>
          <cell r="P45">
            <v>63210</v>
          </cell>
          <cell r="Q45">
            <v>51643</v>
          </cell>
          <cell r="R45">
            <v>67035</v>
          </cell>
        </row>
        <row r="46">
          <cell r="A46">
            <v>56</v>
          </cell>
          <cell r="B46" t="str">
            <v>Khánh Hoà</v>
          </cell>
          <cell r="C46">
            <v>56682</v>
          </cell>
          <cell r="D46">
            <v>78732</v>
          </cell>
          <cell r="E46">
            <v>58907</v>
          </cell>
          <cell r="F46">
            <v>82314</v>
          </cell>
          <cell r="G46">
            <v>66872</v>
          </cell>
          <cell r="H46">
            <v>91361</v>
          </cell>
          <cell r="I46">
            <v>57445</v>
          </cell>
          <cell r="J46">
            <v>80886</v>
          </cell>
          <cell r="K46">
            <v>59360</v>
          </cell>
          <cell r="L46">
            <v>82454</v>
          </cell>
          <cell r="M46">
            <v>60679</v>
          </cell>
          <cell r="N46">
            <v>85119</v>
          </cell>
          <cell r="O46">
            <v>62686</v>
          </cell>
          <cell r="P46">
            <v>94224</v>
          </cell>
          <cell r="Q46">
            <v>75171</v>
          </cell>
          <cell r="R46">
            <v>98701</v>
          </cell>
        </row>
        <row r="47">
          <cell r="A47">
            <v>58</v>
          </cell>
          <cell r="B47" t="str">
            <v>Ninh Thuận</v>
          </cell>
          <cell r="C47">
            <v>22798</v>
          </cell>
          <cell r="D47">
            <v>33739</v>
          </cell>
          <cell r="E47">
            <v>23962</v>
          </cell>
          <cell r="F47">
            <v>35670</v>
          </cell>
          <cell r="G47">
            <v>25177</v>
          </cell>
          <cell r="H47">
            <v>37388</v>
          </cell>
          <cell r="I47">
            <v>22781</v>
          </cell>
          <cell r="J47">
            <v>33707</v>
          </cell>
          <cell r="K47">
            <v>22975</v>
          </cell>
          <cell r="L47">
            <v>33889</v>
          </cell>
          <cell r="M47">
            <v>24895</v>
          </cell>
          <cell r="N47">
            <v>36187</v>
          </cell>
          <cell r="O47">
            <v>29118</v>
          </cell>
          <cell r="P47">
            <v>39852</v>
          </cell>
          <cell r="Q47">
            <v>27677</v>
          </cell>
          <cell r="R47">
            <v>41156</v>
          </cell>
        </row>
        <row r="48">
          <cell r="A48">
            <v>60</v>
          </cell>
          <cell r="B48" t="str">
            <v>Bình Thuận</v>
          </cell>
          <cell r="C48">
            <v>49440</v>
          </cell>
          <cell r="D48">
            <v>71038</v>
          </cell>
          <cell r="E48">
            <v>50470</v>
          </cell>
          <cell r="F48">
            <v>76382</v>
          </cell>
          <cell r="G48">
            <v>57701</v>
          </cell>
          <cell r="H48">
            <v>83827</v>
          </cell>
          <cell r="I48">
            <v>51744</v>
          </cell>
          <cell r="J48">
            <v>74799</v>
          </cell>
          <cell r="K48">
            <v>52890</v>
          </cell>
          <cell r="L48">
            <v>76517</v>
          </cell>
          <cell r="M48">
            <v>52111</v>
          </cell>
          <cell r="N48">
            <v>77361</v>
          </cell>
          <cell r="O48">
            <v>53574</v>
          </cell>
          <cell r="P48">
            <v>74308</v>
          </cell>
          <cell r="Q48">
            <v>61564</v>
          </cell>
          <cell r="R48">
            <v>81512</v>
          </cell>
        </row>
        <row r="49">
          <cell r="A49">
            <v>62</v>
          </cell>
          <cell r="B49" t="str">
            <v>Kon Tum</v>
          </cell>
          <cell r="C49">
            <v>14679</v>
          </cell>
          <cell r="D49">
            <v>19106</v>
          </cell>
          <cell r="E49">
            <v>17776</v>
          </cell>
          <cell r="F49">
            <v>22378</v>
          </cell>
          <cell r="G49">
            <v>18729</v>
          </cell>
          <cell r="H49">
            <v>24254</v>
          </cell>
          <cell r="I49">
            <v>15701</v>
          </cell>
          <cell r="J49">
            <v>21517</v>
          </cell>
          <cell r="K49">
            <v>16948</v>
          </cell>
          <cell r="L49">
            <v>22289</v>
          </cell>
          <cell r="M49">
            <v>16772</v>
          </cell>
          <cell r="N49">
            <v>23398</v>
          </cell>
          <cell r="O49">
            <v>19416</v>
          </cell>
          <cell r="P49">
            <v>26734</v>
          </cell>
          <cell r="Q49">
            <v>22052</v>
          </cell>
          <cell r="R49">
            <v>25998</v>
          </cell>
        </row>
        <row r="50">
          <cell r="A50">
            <v>64</v>
          </cell>
          <cell r="B50" t="str">
            <v>Gia Lai</v>
          </cell>
          <cell r="C50">
            <v>46876</v>
          </cell>
          <cell r="D50">
            <v>59541</v>
          </cell>
          <cell r="E50">
            <v>48585</v>
          </cell>
          <cell r="F50">
            <v>60802</v>
          </cell>
          <cell r="G50">
            <v>52059</v>
          </cell>
          <cell r="H50">
            <v>64774</v>
          </cell>
          <cell r="I50">
            <v>48903</v>
          </cell>
          <cell r="J50">
            <v>65603</v>
          </cell>
          <cell r="K50">
            <v>47708</v>
          </cell>
          <cell r="L50">
            <v>64911</v>
          </cell>
          <cell r="M50">
            <v>54949</v>
          </cell>
          <cell r="N50">
            <v>72425</v>
          </cell>
          <cell r="O50">
            <v>55878</v>
          </cell>
          <cell r="P50">
            <v>74843</v>
          </cell>
          <cell r="Q50">
            <v>67217</v>
          </cell>
          <cell r="R50">
            <v>75037</v>
          </cell>
        </row>
        <row r="51">
          <cell r="A51">
            <v>66</v>
          </cell>
          <cell r="B51" t="str">
            <v>Đắk Lắk</v>
          </cell>
          <cell r="C51">
            <v>65471</v>
          </cell>
          <cell r="D51">
            <v>91072</v>
          </cell>
          <cell r="E51">
            <v>74686</v>
          </cell>
          <cell r="F51">
            <v>94179</v>
          </cell>
          <cell r="G51">
            <v>74580</v>
          </cell>
          <cell r="H51">
            <v>105594</v>
          </cell>
          <cell r="I51">
            <v>72406</v>
          </cell>
          <cell r="J51">
            <v>94828</v>
          </cell>
          <cell r="K51">
            <v>71929</v>
          </cell>
          <cell r="L51">
            <v>91737</v>
          </cell>
          <cell r="M51">
            <v>85546</v>
          </cell>
          <cell r="N51">
            <v>107681</v>
          </cell>
          <cell r="O51">
            <v>79089</v>
          </cell>
          <cell r="P51">
            <v>104710</v>
          </cell>
          <cell r="Q51">
            <v>102512</v>
          </cell>
          <cell r="R51">
            <v>118222</v>
          </cell>
        </row>
        <row r="52">
          <cell r="A52">
            <v>67</v>
          </cell>
          <cell r="B52" t="str">
            <v>Đắk Nông</v>
          </cell>
          <cell r="C52">
            <v>17664</v>
          </cell>
          <cell r="D52">
            <v>20751</v>
          </cell>
          <cell r="E52">
            <v>17443</v>
          </cell>
          <cell r="F52">
            <v>21141</v>
          </cell>
          <cell r="G52">
            <v>19646</v>
          </cell>
          <cell r="H52">
            <v>24549</v>
          </cell>
          <cell r="I52">
            <v>17210</v>
          </cell>
          <cell r="J52">
            <v>21673</v>
          </cell>
          <cell r="K52">
            <v>18541</v>
          </cell>
          <cell r="L52">
            <v>22778</v>
          </cell>
          <cell r="M52">
            <v>20857</v>
          </cell>
          <cell r="N52">
            <v>25193</v>
          </cell>
          <cell r="O52">
            <v>21384</v>
          </cell>
          <cell r="P52">
            <v>26389</v>
          </cell>
          <cell r="Q52">
            <v>23217</v>
          </cell>
          <cell r="R52">
            <v>27184</v>
          </cell>
        </row>
        <row r="53">
          <cell r="A53">
            <v>68</v>
          </cell>
          <cell r="B53" t="str">
            <v>Lâm Đồng</v>
          </cell>
          <cell r="C53">
            <v>49773</v>
          </cell>
          <cell r="D53">
            <v>68106</v>
          </cell>
          <cell r="E53">
            <v>57230</v>
          </cell>
          <cell r="F53">
            <v>75198</v>
          </cell>
          <cell r="G53">
            <v>60991</v>
          </cell>
          <cell r="H53">
            <v>80465</v>
          </cell>
          <cell r="I53">
            <v>53486</v>
          </cell>
          <cell r="J53">
            <v>69809</v>
          </cell>
          <cell r="K53">
            <v>52924</v>
          </cell>
          <cell r="L53">
            <v>65696</v>
          </cell>
          <cell r="M53">
            <v>59289</v>
          </cell>
          <cell r="N53">
            <v>77842</v>
          </cell>
          <cell r="O53">
            <v>64467</v>
          </cell>
          <cell r="P53">
            <v>80485</v>
          </cell>
          <cell r="Q53">
            <v>71249</v>
          </cell>
          <cell r="R53">
            <v>85471</v>
          </cell>
        </row>
        <row r="54">
          <cell r="A54">
            <v>70</v>
          </cell>
          <cell r="B54" t="str">
            <v>Bình Phước</v>
          </cell>
          <cell r="C54">
            <v>33905</v>
          </cell>
          <cell r="D54">
            <v>41723</v>
          </cell>
          <cell r="E54">
            <v>36200</v>
          </cell>
          <cell r="F54">
            <v>46502</v>
          </cell>
          <cell r="G54">
            <v>42214</v>
          </cell>
          <cell r="H54">
            <v>56228</v>
          </cell>
          <cell r="I54">
            <v>37475</v>
          </cell>
          <cell r="J54">
            <v>49196</v>
          </cell>
          <cell r="K54">
            <v>42888</v>
          </cell>
          <cell r="L54">
            <v>53701</v>
          </cell>
          <cell r="M54">
            <v>40108</v>
          </cell>
          <cell r="N54">
            <v>56058</v>
          </cell>
          <cell r="O54">
            <v>41076</v>
          </cell>
          <cell r="P54">
            <v>54049</v>
          </cell>
          <cell r="Q54">
            <v>51274</v>
          </cell>
          <cell r="R54">
            <v>62423</v>
          </cell>
        </row>
        <row r="55">
          <cell r="A55">
            <v>72</v>
          </cell>
          <cell r="B55" t="str">
            <v>Tây Ninh</v>
          </cell>
          <cell r="C55">
            <v>50090</v>
          </cell>
          <cell r="D55">
            <v>72594</v>
          </cell>
          <cell r="E55">
            <v>53245</v>
          </cell>
          <cell r="F55">
            <v>78670</v>
          </cell>
          <cell r="G55">
            <v>58471</v>
          </cell>
          <cell r="H55">
            <v>84580</v>
          </cell>
          <cell r="I55">
            <v>53299</v>
          </cell>
          <cell r="J55">
            <v>77225</v>
          </cell>
          <cell r="K55">
            <v>54423</v>
          </cell>
          <cell r="L55">
            <v>82634</v>
          </cell>
          <cell r="M55">
            <v>55201</v>
          </cell>
          <cell r="N55">
            <v>81433</v>
          </cell>
          <cell r="O55">
            <v>57742</v>
          </cell>
          <cell r="P55">
            <v>81552</v>
          </cell>
          <cell r="Q55">
            <v>64649</v>
          </cell>
          <cell r="R55">
            <v>92794</v>
          </cell>
        </row>
        <row r="56">
          <cell r="A56">
            <v>74</v>
          </cell>
          <cell r="B56" t="str">
            <v>Bình Dương</v>
          </cell>
          <cell r="C56">
            <v>54036</v>
          </cell>
          <cell r="D56">
            <v>81178</v>
          </cell>
          <cell r="E56">
            <v>64700</v>
          </cell>
          <cell r="F56">
            <v>93969</v>
          </cell>
          <cell r="G56">
            <v>62442</v>
          </cell>
          <cell r="H56">
            <v>104892</v>
          </cell>
          <cell r="I56">
            <v>53838</v>
          </cell>
          <cell r="J56">
            <v>77914</v>
          </cell>
          <cell r="K56">
            <v>59276</v>
          </cell>
          <cell r="L56">
            <v>80174</v>
          </cell>
          <cell r="M56">
            <v>63867</v>
          </cell>
          <cell r="N56">
            <v>95280</v>
          </cell>
          <cell r="O56">
            <v>81037</v>
          </cell>
          <cell r="P56">
            <v>103952</v>
          </cell>
          <cell r="Q56">
            <v>78514</v>
          </cell>
          <cell r="R56">
            <v>104767</v>
          </cell>
        </row>
        <row r="57">
          <cell r="A57">
            <v>75</v>
          </cell>
          <cell r="B57" t="str">
            <v>Đồng Nai</v>
          </cell>
          <cell r="C57">
            <v>109196</v>
          </cell>
          <cell r="D57">
            <v>157542</v>
          </cell>
          <cell r="E57">
            <v>139504</v>
          </cell>
          <cell r="F57">
            <v>178500</v>
          </cell>
          <cell r="G57">
            <v>144023</v>
          </cell>
          <cell r="H57">
            <v>201795</v>
          </cell>
          <cell r="I57">
            <v>119326</v>
          </cell>
          <cell r="J57">
            <v>158833</v>
          </cell>
          <cell r="K57">
            <v>136575</v>
          </cell>
          <cell r="L57">
            <v>166573</v>
          </cell>
          <cell r="M57">
            <v>135240</v>
          </cell>
          <cell r="N57">
            <v>178372</v>
          </cell>
          <cell r="O57">
            <v>141283</v>
          </cell>
          <cell r="P57">
            <v>176565</v>
          </cell>
          <cell r="Q57">
            <v>157139</v>
          </cell>
          <cell r="R57">
            <v>182165</v>
          </cell>
        </row>
        <row r="58">
          <cell r="A58">
            <v>77</v>
          </cell>
          <cell r="B58" t="str">
            <v>Bà Rịa-Vũng Tàu(***)</v>
          </cell>
          <cell r="C58">
            <v>48324</v>
          </cell>
          <cell r="D58">
            <v>62165</v>
          </cell>
          <cell r="E58">
            <v>50268</v>
          </cell>
          <cell r="F58">
            <v>63526</v>
          </cell>
          <cell r="G58">
            <v>56430</v>
          </cell>
          <cell r="H58">
            <v>73272</v>
          </cell>
          <cell r="I58">
            <v>51683</v>
          </cell>
          <cell r="J58">
            <v>66905</v>
          </cell>
          <cell r="K58">
            <v>52614</v>
          </cell>
          <cell r="L58">
            <v>69707</v>
          </cell>
          <cell r="M58">
            <v>58689</v>
          </cell>
          <cell r="N58">
            <v>77424</v>
          </cell>
          <cell r="O58">
            <v>61062</v>
          </cell>
          <cell r="P58">
            <v>74912</v>
          </cell>
          <cell r="Q58">
            <v>65494</v>
          </cell>
          <cell r="R58">
            <v>76782</v>
          </cell>
        </row>
        <row r="59">
          <cell r="A59">
            <v>79</v>
          </cell>
          <cell r="B59" t="str">
            <v>TP Hồ Chí Minh</v>
          </cell>
          <cell r="C59">
            <v>348512</v>
          </cell>
          <cell r="D59">
            <v>496175</v>
          </cell>
          <cell r="E59">
            <v>385763</v>
          </cell>
          <cell r="F59">
            <v>548015</v>
          </cell>
          <cell r="G59">
            <v>409168</v>
          </cell>
          <cell r="H59">
            <v>602728</v>
          </cell>
          <cell r="I59">
            <v>341782</v>
          </cell>
          <cell r="J59">
            <v>499223</v>
          </cell>
          <cell r="K59">
            <v>395546</v>
          </cell>
          <cell r="L59">
            <v>599473</v>
          </cell>
          <cell r="M59">
            <v>395411</v>
          </cell>
          <cell r="N59">
            <v>586470</v>
          </cell>
          <cell r="O59">
            <v>427977</v>
          </cell>
          <cell r="P59">
            <v>602377</v>
          </cell>
          <cell r="Q59">
            <v>473842</v>
          </cell>
          <cell r="R59">
            <v>643337</v>
          </cell>
        </row>
        <row r="60">
          <cell r="A60">
            <v>80</v>
          </cell>
          <cell r="B60" t="str">
            <v>Long An</v>
          </cell>
          <cell r="C60">
            <v>73992</v>
          </cell>
          <cell r="D60">
            <v>108646</v>
          </cell>
          <cell r="E60">
            <v>79921</v>
          </cell>
          <cell r="F60">
            <v>116376</v>
          </cell>
          <cell r="G60">
            <v>86474</v>
          </cell>
          <cell r="H60">
            <v>124861</v>
          </cell>
          <cell r="I60">
            <v>83770</v>
          </cell>
          <cell r="J60">
            <v>120775</v>
          </cell>
          <cell r="K60">
            <v>86873</v>
          </cell>
          <cell r="L60">
            <v>119871</v>
          </cell>
          <cell r="M60">
            <v>85522</v>
          </cell>
          <cell r="N60">
            <v>133296</v>
          </cell>
          <cell r="O60">
            <v>93168</v>
          </cell>
          <cell r="P60">
            <v>132442</v>
          </cell>
          <cell r="Q60">
            <v>101566</v>
          </cell>
          <cell r="R60">
            <v>137478</v>
          </cell>
        </row>
        <row r="61">
          <cell r="A61">
            <v>82</v>
          </cell>
          <cell r="B61" t="str">
            <v>Tiền Giang</v>
          </cell>
          <cell r="C61">
            <v>90774</v>
          </cell>
          <cell r="D61">
            <v>132067</v>
          </cell>
          <cell r="E61">
            <v>87701</v>
          </cell>
          <cell r="F61">
            <v>141188</v>
          </cell>
          <cell r="G61">
            <v>94724</v>
          </cell>
          <cell r="H61">
            <v>149088</v>
          </cell>
          <cell r="I61">
            <v>95578</v>
          </cell>
          <cell r="J61">
            <v>146435</v>
          </cell>
          <cell r="K61">
            <v>99322</v>
          </cell>
          <cell r="L61">
            <v>145204</v>
          </cell>
          <cell r="M61">
            <v>101722</v>
          </cell>
          <cell r="N61">
            <v>155183</v>
          </cell>
          <cell r="O61">
            <v>101165</v>
          </cell>
          <cell r="P61">
            <v>148124</v>
          </cell>
          <cell r="Q61">
            <v>120395</v>
          </cell>
          <cell r="R61">
            <v>158239</v>
          </cell>
        </row>
        <row r="62">
          <cell r="A62">
            <v>83</v>
          </cell>
          <cell r="B62" t="str">
            <v>Bến Tre</v>
          </cell>
          <cell r="C62">
            <v>69502</v>
          </cell>
          <cell r="D62">
            <v>112707</v>
          </cell>
          <cell r="E62">
            <v>74697</v>
          </cell>
          <cell r="F62">
            <v>121275</v>
          </cell>
          <cell r="G62">
            <v>83489</v>
          </cell>
          <cell r="H62">
            <v>122822</v>
          </cell>
          <cell r="I62">
            <v>78319</v>
          </cell>
          <cell r="J62">
            <v>120973</v>
          </cell>
          <cell r="K62">
            <v>80667</v>
          </cell>
          <cell r="L62">
            <v>120369</v>
          </cell>
          <cell r="M62">
            <v>79575</v>
          </cell>
          <cell r="N62">
            <v>123380</v>
          </cell>
          <cell r="O62">
            <v>84269</v>
          </cell>
          <cell r="P62">
            <v>129659</v>
          </cell>
          <cell r="Q62">
            <v>98464</v>
          </cell>
          <cell r="R62">
            <v>129847</v>
          </cell>
        </row>
        <row r="63">
          <cell r="A63">
            <v>84</v>
          </cell>
          <cell r="B63" t="str">
            <v>Trà Vinh</v>
          </cell>
          <cell r="C63">
            <v>55745</v>
          </cell>
          <cell r="D63">
            <v>80900</v>
          </cell>
          <cell r="E63">
            <v>59331</v>
          </cell>
          <cell r="F63">
            <v>86332</v>
          </cell>
          <cell r="G63">
            <v>61638</v>
          </cell>
          <cell r="H63">
            <v>92782</v>
          </cell>
          <cell r="I63">
            <v>55047</v>
          </cell>
          <cell r="J63">
            <v>81660</v>
          </cell>
          <cell r="K63">
            <v>56911</v>
          </cell>
          <cell r="L63">
            <v>85233</v>
          </cell>
          <cell r="M63">
            <v>59613</v>
          </cell>
          <cell r="N63">
            <v>86105</v>
          </cell>
          <cell r="O63">
            <v>60705</v>
          </cell>
          <cell r="P63">
            <v>89770</v>
          </cell>
          <cell r="Q63">
            <v>67362</v>
          </cell>
          <cell r="R63">
            <v>90165</v>
          </cell>
        </row>
        <row r="64">
          <cell r="A64">
            <v>86</v>
          </cell>
          <cell r="B64" t="str">
            <v>Vĩnh Long</v>
          </cell>
          <cell r="C64">
            <v>60187</v>
          </cell>
          <cell r="D64">
            <v>86129</v>
          </cell>
          <cell r="E64">
            <v>63065</v>
          </cell>
          <cell r="F64">
            <v>92018</v>
          </cell>
          <cell r="G64">
            <v>68723</v>
          </cell>
          <cell r="H64">
            <v>95137</v>
          </cell>
          <cell r="I64">
            <v>62713</v>
          </cell>
          <cell r="J64">
            <v>90509</v>
          </cell>
          <cell r="K64">
            <v>64379</v>
          </cell>
          <cell r="L64">
            <v>96018</v>
          </cell>
          <cell r="M64">
            <v>65313</v>
          </cell>
          <cell r="N64">
            <v>94090</v>
          </cell>
          <cell r="O64">
            <v>68481</v>
          </cell>
          <cell r="P64">
            <v>93311</v>
          </cell>
          <cell r="Q64">
            <v>76673</v>
          </cell>
          <cell r="R64">
            <v>102254</v>
          </cell>
        </row>
        <row r="65">
          <cell r="A65">
            <v>87</v>
          </cell>
          <cell r="B65" t="str">
            <v>Đồng Tháp</v>
          </cell>
          <cell r="C65">
            <v>85529</v>
          </cell>
          <cell r="D65">
            <v>114811</v>
          </cell>
          <cell r="E65">
            <v>95173</v>
          </cell>
          <cell r="F65">
            <v>122203</v>
          </cell>
          <cell r="G65">
            <v>101495</v>
          </cell>
          <cell r="H65">
            <v>130876</v>
          </cell>
          <cell r="I65">
            <v>87899</v>
          </cell>
          <cell r="J65">
            <v>119796</v>
          </cell>
          <cell r="K65">
            <v>89364</v>
          </cell>
          <cell r="L65">
            <v>115398</v>
          </cell>
          <cell r="M65">
            <v>93428</v>
          </cell>
          <cell r="N65">
            <v>121989</v>
          </cell>
          <cell r="O65">
            <v>99052</v>
          </cell>
          <cell r="P65">
            <v>132146</v>
          </cell>
          <cell r="Q65">
            <v>107071</v>
          </cell>
          <cell r="R65">
            <v>134675</v>
          </cell>
        </row>
        <row r="66">
          <cell r="A66">
            <v>89</v>
          </cell>
          <cell r="B66" t="str">
            <v>An Giang</v>
          </cell>
          <cell r="C66">
            <v>115622</v>
          </cell>
          <cell r="D66">
            <v>142643</v>
          </cell>
          <cell r="E66">
            <v>120964</v>
          </cell>
          <cell r="F66">
            <v>157009</v>
          </cell>
          <cell r="G66">
            <v>125794</v>
          </cell>
          <cell r="H66">
            <v>169815</v>
          </cell>
          <cell r="I66">
            <v>99209</v>
          </cell>
          <cell r="J66">
            <v>139575</v>
          </cell>
          <cell r="K66">
            <v>103043</v>
          </cell>
          <cell r="L66">
            <v>145836</v>
          </cell>
          <cell r="M66">
            <v>110758</v>
          </cell>
          <cell r="N66">
            <v>148755</v>
          </cell>
          <cell r="O66">
            <v>104009</v>
          </cell>
          <cell r="P66">
            <v>149852</v>
          </cell>
          <cell r="Q66">
            <v>112692</v>
          </cell>
          <cell r="R66">
            <v>159680</v>
          </cell>
        </row>
        <row r="67">
          <cell r="A67">
            <v>91</v>
          </cell>
          <cell r="B67" t="str">
            <v>Kiên Giang</v>
          </cell>
          <cell r="C67">
            <v>83010</v>
          </cell>
          <cell r="D67">
            <v>111583</v>
          </cell>
          <cell r="E67">
            <v>91913</v>
          </cell>
          <cell r="F67">
            <v>118493</v>
          </cell>
          <cell r="G67">
            <v>96090</v>
          </cell>
          <cell r="H67">
            <v>126510</v>
          </cell>
          <cell r="I67">
            <v>78118</v>
          </cell>
          <cell r="J67">
            <v>105017</v>
          </cell>
          <cell r="K67">
            <v>87681</v>
          </cell>
          <cell r="L67">
            <v>112993</v>
          </cell>
          <cell r="M67">
            <v>89928</v>
          </cell>
          <cell r="N67">
            <v>115716</v>
          </cell>
          <cell r="O67">
            <v>93361</v>
          </cell>
          <cell r="P67">
            <v>120444</v>
          </cell>
          <cell r="Q67">
            <v>105923</v>
          </cell>
          <cell r="R67">
            <v>131376</v>
          </cell>
        </row>
        <row r="68">
          <cell r="A68">
            <v>92</v>
          </cell>
          <cell r="B68" t="str">
            <v>Cần Thơ</v>
          </cell>
          <cell r="C68">
            <v>63924</v>
          </cell>
          <cell r="D68">
            <v>87765</v>
          </cell>
          <cell r="E68">
            <v>68786</v>
          </cell>
          <cell r="F68">
            <v>93085</v>
          </cell>
          <cell r="G68">
            <v>75937</v>
          </cell>
          <cell r="H68">
            <v>102586</v>
          </cell>
          <cell r="I68">
            <v>62034</v>
          </cell>
          <cell r="J68">
            <v>85881</v>
          </cell>
          <cell r="K68">
            <v>67451</v>
          </cell>
          <cell r="L68">
            <v>94379</v>
          </cell>
          <cell r="M68">
            <v>65985</v>
          </cell>
          <cell r="N68">
            <v>90164</v>
          </cell>
          <cell r="O68">
            <v>70142</v>
          </cell>
          <cell r="P68">
            <v>92865</v>
          </cell>
          <cell r="Q68">
            <v>75046</v>
          </cell>
          <cell r="R68">
            <v>98834</v>
          </cell>
        </row>
        <row r="69">
          <cell r="A69">
            <v>93</v>
          </cell>
          <cell r="B69" t="str">
            <v>Hậu Giang</v>
          </cell>
          <cell r="C69">
            <v>41488</v>
          </cell>
          <cell r="D69">
            <v>55143</v>
          </cell>
          <cell r="E69">
            <v>44785</v>
          </cell>
          <cell r="F69">
            <v>60784</v>
          </cell>
          <cell r="G69">
            <v>48619</v>
          </cell>
          <cell r="H69">
            <v>64661</v>
          </cell>
          <cell r="I69">
            <v>41842</v>
          </cell>
          <cell r="J69">
            <v>57238</v>
          </cell>
          <cell r="K69">
            <v>41116</v>
          </cell>
          <cell r="L69">
            <v>55263</v>
          </cell>
          <cell r="M69">
            <v>43567</v>
          </cell>
          <cell r="N69">
            <v>59458</v>
          </cell>
          <cell r="O69">
            <v>44568</v>
          </cell>
          <cell r="P69">
            <v>60962</v>
          </cell>
          <cell r="Q69">
            <v>53482</v>
          </cell>
          <cell r="R69">
            <v>62423</v>
          </cell>
        </row>
        <row r="70">
          <cell r="A70">
            <v>94</v>
          </cell>
          <cell r="B70" t="str">
            <v>Sóc Trăng</v>
          </cell>
          <cell r="C70">
            <v>68875</v>
          </cell>
          <cell r="D70">
            <v>95367</v>
          </cell>
          <cell r="E70">
            <v>73667</v>
          </cell>
          <cell r="F70">
            <v>96601</v>
          </cell>
          <cell r="G70">
            <v>81018</v>
          </cell>
          <cell r="H70">
            <v>106875</v>
          </cell>
          <cell r="I70">
            <v>69157</v>
          </cell>
          <cell r="J70">
            <v>94290</v>
          </cell>
          <cell r="K70">
            <v>70735</v>
          </cell>
          <cell r="L70">
            <v>95312</v>
          </cell>
          <cell r="M70">
            <v>73676</v>
          </cell>
          <cell r="N70">
            <v>97972</v>
          </cell>
          <cell r="O70">
            <v>75157</v>
          </cell>
          <cell r="P70">
            <v>103980</v>
          </cell>
          <cell r="Q70">
            <v>87838</v>
          </cell>
          <cell r="R70">
            <v>106760</v>
          </cell>
        </row>
        <row r="71">
          <cell r="A71">
            <v>95</v>
          </cell>
          <cell r="B71" t="str">
            <v>Bạc Liêu</v>
          </cell>
          <cell r="C71">
            <v>48053</v>
          </cell>
          <cell r="D71">
            <v>62373</v>
          </cell>
          <cell r="E71">
            <v>53733</v>
          </cell>
          <cell r="F71">
            <v>68319</v>
          </cell>
          <cell r="G71">
            <v>57964</v>
          </cell>
          <cell r="H71">
            <v>70836</v>
          </cell>
          <cell r="I71">
            <v>47284</v>
          </cell>
          <cell r="J71">
            <v>60869</v>
          </cell>
          <cell r="K71">
            <v>51293</v>
          </cell>
          <cell r="L71">
            <v>64567</v>
          </cell>
          <cell r="M71">
            <v>52948</v>
          </cell>
          <cell r="N71">
            <v>67827</v>
          </cell>
          <cell r="O71">
            <v>55246</v>
          </cell>
          <cell r="P71">
            <v>71065</v>
          </cell>
          <cell r="Q71">
            <v>63146</v>
          </cell>
          <cell r="R71">
            <v>74640</v>
          </cell>
        </row>
        <row r="72">
          <cell r="A72">
            <v>96</v>
          </cell>
          <cell r="B72" t="str">
            <v>Cà Mau</v>
          </cell>
          <cell r="C72">
            <v>62543</v>
          </cell>
          <cell r="D72">
            <v>77929</v>
          </cell>
          <cell r="E72">
            <v>67722</v>
          </cell>
          <cell r="F72">
            <v>82460</v>
          </cell>
          <cell r="G72">
            <v>75138</v>
          </cell>
          <cell r="H72">
            <v>91117</v>
          </cell>
          <cell r="I72">
            <v>63990</v>
          </cell>
          <cell r="J72">
            <v>79006</v>
          </cell>
          <cell r="K72">
            <v>68199</v>
          </cell>
          <cell r="L72">
            <v>82589</v>
          </cell>
          <cell r="M72">
            <v>68603</v>
          </cell>
          <cell r="N72">
            <v>86481</v>
          </cell>
          <cell r="O72">
            <v>73802</v>
          </cell>
          <cell r="P72">
            <v>88570</v>
          </cell>
          <cell r="Q72">
            <v>88261</v>
          </cell>
          <cell r="R72">
            <v>99218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10">
          <cell r="A10" t="str">
            <v>01</v>
          </cell>
          <cell r="B10" t="str">
            <v>Hà Nội</v>
          </cell>
          <cell r="C10">
            <v>3753167</v>
          </cell>
          <cell r="D10">
            <v>3837599</v>
          </cell>
          <cell r="E10">
            <v>3831479</v>
          </cell>
          <cell r="F10">
            <v>3910709</v>
          </cell>
          <cell r="G10">
            <v>3920268</v>
          </cell>
          <cell r="H10">
            <v>3994217</v>
          </cell>
          <cell r="I10">
            <v>4012738</v>
          </cell>
          <cell r="J10">
            <v>4081153</v>
          </cell>
          <cell r="K10">
            <v>4083480</v>
          </cell>
          <cell r="L10">
            <v>4163059</v>
          </cell>
          <cell r="M10">
            <v>4132006</v>
          </cell>
          <cell r="N10">
            <v>4198828</v>
          </cell>
          <cell r="O10">
            <v>4167292</v>
          </cell>
          <cell r="P10">
            <v>4268360</v>
          </cell>
          <cell r="Q10">
            <v>4264172</v>
          </cell>
          <cell r="R10">
            <v>4322909</v>
          </cell>
        </row>
        <row r="11">
          <cell r="A11" t="str">
            <v>02</v>
          </cell>
          <cell r="B11" t="str">
            <v>Hà Giang</v>
          </cell>
          <cell r="C11">
            <v>413044</v>
          </cell>
          <cell r="D11">
            <v>407383</v>
          </cell>
          <cell r="E11">
            <v>420217</v>
          </cell>
          <cell r="F11">
            <v>413475</v>
          </cell>
          <cell r="G11">
            <v>427185</v>
          </cell>
          <cell r="H11">
            <v>419400</v>
          </cell>
          <cell r="I11">
            <v>433589</v>
          </cell>
          <cell r="J11">
            <v>424502</v>
          </cell>
          <cell r="K11">
            <v>439645</v>
          </cell>
          <cell r="L11">
            <v>430594</v>
          </cell>
          <cell r="M11">
            <v>448484</v>
          </cell>
          <cell r="N11">
            <v>438602</v>
          </cell>
          <cell r="O11">
            <v>453173</v>
          </cell>
          <cell r="P11">
            <v>439550</v>
          </cell>
          <cell r="Q11">
            <v>457108</v>
          </cell>
          <cell r="R11">
            <v>442792</v>
          </cell>
        </row>
        <row r="12">
          <cell r="A12" t="str">
            <v>04</v>
          </cell>
          <cell r="B12" t="str">
            <v>Cao Bằng</v>
          </cell>
          <cell r="C12">
            <v>261874</v>
          </cell>
          <cell r="D12">
            <v>262361</v>
          </cell>
          <cell r="E12">
            <v>263215</v>
          </cell>
          <cell r="F12">
            <v>263203</v>
          </cell>
          <cell r="G12">
            <v>264586</v>
          </cell>
          <cell r="H12">
            <v>264070</v>
          </cell>
          <cell r="I12">
            <v>265940</v>
          </cell>
          <cell r="J12">
            <v>264916</v>
          </cell>
          <cell r="K12">
            <v>267014</v>
          </cell>
          <cell r="L12">
            <v>266072</v>
          </cell>
          <cell r="M12">
            <v>271588</v>
          </cell>
          <cell r="N12">
            <v>270629</v>
          </cell>
          <cell r="O12">
            <v>272832</v>
          </cell>
          <cell r="P12">
            <v>270220</v>
          </cell>
          <cell r="Q12">
            <v>275510</v>
          </cell>
          <cell r="R12">
            <v>272347</v>
          </cell>
        </row>
        <row r="13">
          <cell r="A13">
            <v>6</v>
          </cell>
          <cell r="B13" t="str">
            <v>Bắc Kạn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</row>
        <row r="14">
          <cell r="A14" t="str">
            <v>08</v>
          </cell>
          <cell r="B14" t="str">
            <v>Tuyên Quang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>
            <v>410918</v>
          </cell>
          <cell r="R14">
            <v>401297</v>
          </cell>
        </row>
        <row r="15">
          <cell r="A15">
            <v>10</v>
          </cell>
          <cell r="B15" t="str">
            <v>Lào Cai</v>
          </cell>
          <cell r="C15">
            <v>353017</v>
          </cell>
          <cell r="D15">
            <v>343436</v>
          </cell>
          <cell r="E15">
            <v>359537</v>
          </cell>
          <cell r="F15">
            <v>349034</v>
          </cell>
          <cell r="G15">
            <v>366141</v>
          </cell>
          <cell r="H15">
            <v>354688</v>
          </cell>
          <cell r="I15">
            <v>372887</v>
          </cell>
          <cell r="J15">
            <v>360400</v>
          </cell>
          <cell r="K15">
            <v>380104</v>
          </cell>
          <cell r="L15">
            <v>366251</v>
          </cell>
          <cell r="M15">
            <v>387090</v>
          </cell>
          <cell r="N15">
            <v>374800</v>
          </cell>
          <cell r="O15">
            <v>392999</v>
          </cell>
          <cell r="P15">
            <v>377590</v>
          </cell>
          <cell r="Q15">
            <v>397846</v>
          </cell>
          <cell r="R15">
            <v>382073</v>
          </cell>
        </row>
        <row r="16">
          <cell r="A16">
            <v>11</v>
          </cell>
          <cell r="B16" t="str">
            <v>Điện Biên</v>
          </cell>
          <cell r="C16">
            <v>286889</v>
          </cell>
          <cell r="D16">
            <v>281378</v>
          </cell>
          <cell r="E16">
            <v>292890</v>
          </cell>
          <cell r="F16">
            <v>286497</v>
          </cell>
          <cell r="G16">
            <v>298910</v>
          </cell>
          <cell r="H16">
            <v>291608</v>
          </cell>
          <cell r="I16">
            <v>305005</v>
          </cell>
          <cell r="J16">
            <v>296600</v>
          </cell>
          <cell r="K16">
            <v>311462</v>
          </cell>
          <cell r="L16">
            <v>302018</v>
          </cell>
          <cell r="M16">
            <v>317355</v>
          </cell>
          <cell r="N16">
            <v>307734</v>
          </cell>
          <cell r="O16">
            <v>322959</v>
          </cell>
          <cell r="P16">
            <v>312962</v>
          </cell>
          <cell r="Q16">
            <v>328146</v>
          </cell>
          <cell r="R16">
            <v>318036</v>
          </cell>
        </row>
        <row r="17">
          <cell r="A17">
            <v>12</v>
          </cell>
          <cell r="B17" t="str">
            <v>Lai Châu</v>
          </cell>
          <cell r="C17">
            <v>222259</v>
          </cell>
          <cell r="D17">
            <v>214062</v>
          </cell>
          <cell r="E17">
            <v>226429</v>
          </cell>
          <cell r="F17">
            <v>218077</v>
          </cell>
          <cell r="G17">
            <v>230951</v>
          </cell>
          <cell r="H17">
            <v>222432</v>
          </cell>
          <cell r="I17">
            <v>235660</v>
          </cell>
          <cell r="J17">
            <v>226969</v>
          </cell>
          <cell r="K17">
            <v>238420</v>
          </cell>
          <cell r="L17">
            <v>231391</v>
          </cell>
          <cell r="M17">
            <v>242277</v>
          </cell>
          <cell r="N17">
            <v>236153</v>
          </cell>
          <cell r="O17">
            <v>244256</v>
          </cell>
          <cell r="P17">
            <v>237840</v>
          </cell>
          <cell r="Q17">
            <v>247926</v>
          </cell>
          <cell r="R17">
            <v>241356</v>
          </cell>
        </row>
        <row r="18">
          <cell r="A18">
            <v>14</v>
          </cell>
          <cell r="B18" t="str">
            <v>Sơn La</v>
          </cell>
          <cell r="C18">
            <v>604154</v>
          </cell>
          <cell r="D18">
            <v>590783</v>
          </cell>
          <cell r="E18">
            <v>614012</v>
          </cell>
          <cell r="F18">
            <v>599500</v>
          </cell>
          <cell r="G18">
            <v>624443</v>
          </cell>
          <cell r="H18">
            <v>608631</v>
          </cell>
          <cell r="I18">
            <v>634985</v>
          </cell>
          <cell r="J18">
            <v>617661</v>
          </cell>
          <cell r="K18">
            <v>644483</v>
          </cell>
          <cell r="L18">
            <v>626074</v>
          </cell>
          <cell r="M18">
            <v>653488</v>
          </cell>
          <cell r="N18">
            <v>634230</v>
          </cell>
          <cell r="O18">
            <v>659785</v>
          </cell>
          <cell r="P18">
            <v>640340</v>
          </cell>
          <cell r="Q18">
            <v>666557</v>
          </cell>
          <cell r="R18">
            <v>646783</v>
          </cell>
        </row>
        <row r="19">
          <cell r="A19">
            <v>15</v>
          </cell>
          <cell r="B19" t="str">
            <v>Yên Bái</v>
          </cell>
          <cell r="C19">
            <v>401651</v>
          </cell>
          <cell r="D19">
            <v>398670</v>
          </cell>
          <cell r="E19">
            <v>405628</v>
          </cell>
          <cell r="F19">
            <v>401659</v>
          </cell>
          <cell r="G19">
            <v>409544</v>
          </cell>
          <cell r="H19">
            <v>405035</v>
          </cell>
          <cell r="I19">
            <v>414067</v>
          </cell>
          <cell r="J19">
            <v>408967</v>
          </cell>
          <cell r="K19">
            <v>419098</v>
          </cell>
          <cell r="L19">
            <v>412488</v>
          </cell>
          <cell r="M19">
            <v>424661</v>
          </cell>
          <cell r="N19">
            <v>418010</v>
          </cell>
          <cell r="O19">
            <v>427311</v>
          </cell>
          <cell r="P19">
            <v>419934</v>
          </cell>
          <cell r="Q19">
            <v>431732</v>
          </cell>
          <cell r="R19">
            <v>423797</v>
          </cell>
        </row>
        <row r="20">
          <cell r="A20">
            <v>17</v>
          </cell>
          <cell r="B20" t="str">
            <v>Hoà Bình</v>
          </cell>
          <cell r="C20">
            <v>417480</v>
          </cell>
          <cell r="D20">
            <v>419483</v>
          </cell>
          <cell r="E20">
            <v>421777</v>
          </cell>
          <cell r="F20">
            <v>423170</v>
          </cell>
          <cell r="G20">
            <v>424823</v>
          </cell>
          <cell r="H20">
            <v>425590</v>
          </cell>
          <cell r="I20">
            <v>427836</v>
          </cell>
          <cell r="J20">
            <v>427968</v>
          </cell>
          <cell r="K20">
            <v>432761</v>
          </cell>
          <cell r="L20">
            <v>428455</v>
          </cell>
          <cell r="M20">
            <v>438041</v>
          </cell>
          <cell r="N20">
            <v>433683</v>
          </cell>
          <cell r="O20">
            <v>440697</v>
          </cell>
          <cell r="P20">
            <v>434682</v>
          </cell>
          <cell r="Q20">
            <v>443306</v>
          </cell>
          <cell r="R20">
            <v>437168</v>
          </cell>
        </row>
        <row r="21">
          <cell r="A21">
            <v>19</v>
          </cell>
          <cell r="B21" t="str">
            <v>Thái Nguyên</v>
          </cell>
          <cell r="C21">
            <v>608196</v>
          </cell>
          <cell r="D21">
            <v>634628</v>
          </cell>
          <cell r="E21">
            <v>615461</v>
          </cell>
          <cell r="F21">
            <v>640663</v>
          </cell>
          <cell r="G21">
            <v>623287</v>
          </cell>
          <cell r="H21">
            <v>650271</v>
          </cell>
          <cell r="I21">
            <v>631071</v>
          </cell>
          <cell r="J21">
            <v>659874</v>
          </cell>
          <cell r="K21">
            <v>638931</v>
          </cell>
          <cell r="L21">
            <v>668940</v>
          </cell>
          <cell r="M21">
            <v>646245</v>
          </cell>
          <cell r="N21">
            <v>676905</v>
          </cell>
          <cell r="O21">
            <v>652263</v>
          </cell>
          <cell r="P21">
            <v>683724</v>
          </cell>
          <cell r="Q21">
            <v>659070</v>
          </cell>
          <cell r="R21">
            <v>691275</v>
          </cell>
        </row>
        <row r="22">
          <cell r="A22">
            <v>20</v>
          </cell>
          <cell r="B22" t="str">
            <v>Lạng Sơn</v>
          </cell>
          <cell r="C22">
            <v>387165</v>
          </cell>
          <cell r="D22">
            <v>376231</v>
          </cell>
          <cell r="E22">
            <v>390917</v>
          </cell>
          <cell r="F22">
            <v>377781</v>
          </cell>
          <cell r="G22">
            <v>395637</v>
          </cell>
          <cell r="H22">
            <v>380229</v>
          </cell>
          <cell r="I22">
            <v>399996</v>
          </cell>
          <cell r="J22">
            <v>382815</v>
          </cell>
          <cell r="K22">
            <v>403407</v>
          </cell>
          <cell r="L22">
            <v>385299</v>
          </cell>
          <cell r="M22">
            <v>406846</v>
          </cell>
          <cell r="N22">
            <v>390093</v>
          </cell>
          <cell r="O22">
            <v>410335</v>
          </cell>
          <cell r="P22">
            <v>391755</v>
          </cell>
          <cell r="Q22">
            <v>413048</v>
          </cell>
          <cell r="R22">
            <v>394267</v>
          </cell>
        </row>
        <row r="23">
          <cell r="A23">
            <v>22</v>
          </cell>
          <cell r="B23" t="str">
            <v>Quảng Ninh</v>
          </cell>
          <cell r="C23">
            <v>642126</v>
          </cell>
          <cell r="D23">
            <v>619114</v>
          </cell>
          <cell r="E23">
            <v>654087</v>
          </cell>
          <cell r="F23">
            <v>631122</v>
          </cell>
          <cell r="G23">
            <v>663360</v>
          </cell>
          <cell r="H23">
            <v>640552</v>
          </cell>
          <cell r="I23">
            <v>673759</v>
          </cell>
          <cell r="J23">
            <v>651083</v>
          </cell>
          <cell r="K23">
            <v>680172</v>
          </cell>
          <cell r="L23">
            <v>657433</v>
          </cell>
          <cell r="M23">
            <v>686908</v>
          </cell>
          <cell r="N23">
            <v>663943</v>
          </cell>
          <cell r="O23">
            <v>692660</v>
          </cell>
          <cell r="P23">
            <v>670216</v>
          </cell>
          <cell r="Q23">
            <v>699350</v>
          </cell>
          <cell r="R23">
            <v>681817</v>
          </cell>
        </row>
        <row r="24">
          <cell r="A24">
            <v>24</v>
          </cell>
          <cell r="B24" t="str">
            <v>Bắc Giang</v>
          </cell>
          <cell r="C24">
            <v>848550</v>
          </cell>
          <cell r="D24">
            <v>848353</v>
          </cell>
          <cell r="E24">
            <v>869567</v>
          </cell>
          <cell r="F24">
            <v>867220</v>
          </cell>
          <cell r="G24">
            <v>891052</v>
          </cell>
          <cell r="H24">
            <v>886454</v>
          </cell>
          <cell r="I24">
            <v>908672</v>
          </cell>
          <cell r="J24">
            <v>901749</v>
          </cell>
          <cell r="K24">
            <v>925457</v>
          </cell>
          <cell r="L24">
            <v>916168</v>
          </cell>
          <cell r="M24">
            <v>941818</v>
          </cell>
          <cell r="N24">
            <v>933421</v>
          </cell>
          <cell r="O24">
            <v>952952</v>
          </cell>
          <cell r="P24">
            <v>937973</v>
          </cell>
          <cell r="Q24">
            <v>968918</v>
          </cell>
          <cell r="R24">
            <v>953822</v>
          </cell>
        </row>
        <row r="25">
          <cell r="A25">
            <v>25</v>
          </cell>
          <cell r="B25" t="str">
            <v>Phú Thọ</v>
          </cell>
          <cell r="C25">
            <v>697747</v>
          </cell>
          <cell r="D25">
            <v>711261</v>
          </cell>
          <cell r="E25">
            <v>709899</v>
          </cell>
          <cell r="F25">
            <v>720576</v>
          </cell>
          <cell r="G25">
            <v>719773</v>
          </cell>
          <cell r="H25">
            <v>729812</v>
          </cell>
          <cell r="I25">
            <v>729317</v>
          </cell>
          <cell r="J25">
            <v>737082</v>
          </cell>
          <cell r="K25">
            <v>735596</v>
          </cell>
          <cell r="L25">
            <v>746288</v>
          </cell>
          <cell r="M25">
            <v>747819</v>
          </cell>
          <cell r="N25">
            <v>759720</v>
          </cell>
          <cell r="O25">
            <v>756089</v>
          </cell>
          <cell r="P25">
            <v>760832</v>
          </cell>
          <cell r="Q25">
            <v>762568</v>
          </cell>
          <cell r="R25">
            <v>768279</v>
          </cell>
        </row>
        <row r="26">
          <cell r="A26">
            <v>26</v>
          </cell>
          <cell r="B26" t="str">
            <v>Vĩnh Phúc</v>
          </cell>
          <cell r="C26">
            <v>543959</v>
          </cell>
          <cell r="D26">
            <v>562182</v>
          </cell>
          <cell r="E26">
            <v>555393</v>
          </cell>
          <cell r="F26">
            <v>567800</v>
          </cell>
          <cell r="G26">
            <v>563721</v>
          </cell>
          <cell r="H26">
            <v>574649</v>
          </cell>
          <cell r="I26">
            <v>575460</v>
          </cell>
          <cell r="J26">
            <v>579376</v>
          </cell>
          <cell r="K26">
            <v>583719</v>
          </cell>
          <cell r="L26">
            <v>587513</v>
          </cell>
          <cell r="M26">
            <v>593961</v>
          </cell>
          <cell r="N26">
            <v>597821</v>
          </cell>
          <cell r="O26">
            <v>598032</v>
          </cell>
          <cell r="P26">
            <v>599585</v>
          </cell>
          <cell r="Q26">
            <v>604741</v>
          </cell>
          <cell r="R26">
            <v>606604</v>
          </cell>
        </row>
        <row r="27">
          <cell r="A27">
            <v>27</v>
          </cell>
          <cell r="B27" t="str">
            <v>Bắc Ninh</v>
          </cell>
          <cell r="C27">
            <v>620213</v>
          </cell>
          <cell r="D27">
            <v>637631</v>
          </cell>
          <cell r="E27">
            <v>640323</v>
          </cell>
          <cell r="F27">
            <v>657439</v>
          </cell>
          <cell r="G27">
            <v>657758</v>
          </cell>
          <cell r="H27">
            <v>679587</v>
          </cell>
          <cell r="I27">
            <v>680980</v>
          </cell>
          <cell r="J27">
            <v>697612</v>
          </cell>
          <cell r="K27">
            <v>699009</v>
          </cell>
          <cell r="L27">
            <v>720117</v>
          </cell>
          <cell r="M27">
            <v>725237</v>
          </cell>
          <cell r="N27">
            <v>737708</v>
          </cell>
          <cell r="O27">
            <v>732045</v>
          </cell>
          <cell r="P27">
            <v>756205</v>
          </cell>
          <cell r="Q27">
            <v>744931</v>
          </cell>
          <cell r="R27">
            <v>772510</v>
          </cell>
        </row>
        <row r="28">
          <cell r="A28">
            <v>30</v>
          </cell>
          <cell r="B28" t="str">
            <v>Hải Dương</v>
          </cell>
          <cell r="C28">
            <v>906600</v>
          </cell>
          <cell r="D28">
            <v>926212</v>
          </cell>
          <cell r="E28">
            <v>916822</v>
          </cell>
          <cell r="F28">
            <v>933765</v>
          </cell>
          <cell r="G28">
            <v>931699</v>
          </cell>
          <cell r="H28">
            <v>945983</v>
          </cell>
          <cell r="I28">
            <v>942710</v>
          </cell>
          <cell r="J28">
            <v>954201</v>
          </cell>
          <cell r="K28">
            <v>956470</v>
          </cell>
          <cell r="L28">
            <v>960304</v>
          </cell>
          <cell r="M28">
            <v>966450</v>
          </cell>
          <cell r="N28">
            <v>970325</v>
          </cell>
          <cell r="O28">
            <v>975504</v>
          </cell>
          <cell r="P28">
            <v>971316</v>
          </cell>
          <cell r="Q28">
            <v>980647</v>
          </cell>
          <cell r="R28">
            <v>976241</v>
          </cell>
        </row>
        <row r="29">
          <cell r="A29">
            <v>31</v>
          </cell>
          <cell r="B29" t="str">
            <v>Hải Phòng</v>
          </cell>
          <cell r="C29">
            <v>985771</v>
          </cell>
          <cell r="D29">
            <v>999543</v>
          </cell>
          <cell r="E29">
            <v>993958</v>
          </cell>
          <cell r="F29">
            <v>1007441</v>
          </cell>
          <cell r="G29">
            <v>1001619</v>
          </cell>
          <cell r="H29">
            <v>1014801</v>
          </cell>
          <cell r="I29">
            <v>1010182</v>
          </cell>
          <cell r="J29">
            <v>1023066</v>
          </cell>
          <cell r="K29">
            <v>1015649</v>
          </cell>
          <cell r="L29">
            <v>1037843</v>
          </cell>
          <cell r="M29">
            <v>1024995</v>
          </cell>
          <cell r="N29">
            <v>1047393</v>
          </cell>
          <cell r="O29">
            <v>1035328</v>
          </cell>
          <cell r="P29">
            <v>1052694</v>
          </cell>
          <cell r="Q29">
            <v>1043864</v>
          </cell>
          <cell r="R29">
            <v>1061162</v>
          </cell>
        </row>
        <row r="30">
          <cell r="A30">
            <v>33</v>
          </cell>
          <cell r="B30" t="str">
            <v>Hưng Yên</v>
          </cell>
          <cell r="C30">
            <v>604674</v>
          </cell>
          <cell r="D30">
            <v>610829</v>
          </cell>
          <cell r="E30">
            <v>613245</v>
          </cell>
          <cell r="F30">
            <v>615578</v>
          </cell>
          <cell r="G30">
            <v>620632</v>
          </cell>
          <cell r="H30">
            <v>621763</v>
          </cell>
          <cell r="I30">
            <v>628703</v>
          </cell>
          <cell r="J30">
            <v>627136</v>
          </cell>
          <cell r="K30">
            <v>636392</v>
          </cell>
          <cell r="L30">
            <v>632698</v>
          </cell>
          <cell r="M30">
            <v>644145</v>
          </cell>
          <cell r="N30">
            <v>640406</v>
          </cell>
          <cell r="O30">
            <v>648230</v>
          </cell>
          <cell r="P30">
            <v>642622</v>
          </cell>
          <cell r="Q30">
            <v>653438</v>
          </cell>
          <cell r="R30">
            <v>647576</v>
          </cell>
        </row>
        <row r="31">
          <cell r="A31">
            <v>34</v>
          </cell>
          <cell r="B31" t="str">
            <v>Thái Bình</v>
          </cell>
          <cell r="C31">
            <v>892511</v>
          </cell>
          <cell r="D31">
            <v>945599</v>
          </cell>
          <cell r="E31">
            <v>897129</v>
          </cell>
          <cell r="F31">
            <v>948972</v>
          </cell>
          <cell r="G31">
            <v>901772</v>
          </cell>
          <cell r="H31">
            <v>952356</v>
          </cell>
          <cell r="I31">
            <v>906438</v>
          </cell>
          <cell r="J31">
            <v>955746</v>
          </cell>
          <cell r="K31">
            <v>911403</v>
          </cell>
          <cell r="L31">
            <v>958837</v>
          </cell>
          <cell r="M31">
            <v>918710</v>
          </cell>
          <cell r="N31">
            <v>956953</v>
          </cell>
          <cell r="O31">
            <v>917064</v>
          </cell>
          <cell r="P31">
            <v>961474</v>
          </cell>
          <cell r="Q31">
            <v>918956</v>
          </cell>
          <cell r="R31">
            <v>963379</v>
          </cell>
        </row>
        <row r="32">
          <cell r="A32">
            <v>35</v>
          </cell>
          <cell r="B32" t="str">
            <v>Hà Nam</v>
          </cell>
          <cell r="C32">
            <v>408709</v>
          </cell>
          <cell r="D32">
            <v>423508</v>
          </cell>
          <cell r="E32">
            <v>412800</v>
          </cell>
          <cell r="F32">
            <v>427013</v>
          </cell>
          <cell r="G32">
            <v>416709</v>
          </cell>
          <cell r="H32">
            <v>430428</v>
          </cell>
          <cell r="I32">
            <v>420600</v>
          </cell>
          <cell r="J32">
            <v>433814</v>
          </cell>
          <cell r="K32">
            <v>424647</v>
          </cell>
          <cell r="L32">
            <v>437185</v>
          </cell>
          <cell r="M32">
            <v>431412</v>
          </cell>
          <cell r="N32">
            <v>443804</v>
          </cell>
          <cell r="O32">
            <v>434812</v>
          </cell>
          <cell r="P32">
            <v>443240</v>
          </cell>
          <cell r="Q32">
            <v>436692</v>
          </cell>
          <cell r="R32">
            <v>449222</v>
          </cell>
        </row>
        <row r="33">
          <cell r="A33">
            <v>36</v>
          </cell>
          <cell r="B33" t="str">
            <v>Nam Định</v>
          </cell>
          <cell r="C33">
            <v>876911</v>
          </cell>
          <cell r="D33">
            <v>915541</v>
          </cell>
          <cell r="E33">
            <v>875114</v>
          </cell>
          <cell r="F33">
            <v>913111</v>
          </cell>
          <cell r="G33">
            <v>873490</v>
          </cell>
          <cell r="H33">
            <v>910716</v>
          </cell>
          <cell r="I33">
            <v>872507</v>
          </cell>
          <cell r="J33">
            <v>908358</v>
          </cell>
          <cell r="K33">
            <v>872240</v>
          </cell>
          <cell r="L33">
            <v>908094</v>
          </cell>
          <cell r="M33">
            <v>899374</v>
          </cell>
          <cell r="N33">
            <v>936894</v>
          </cell>
          <cell r="O33">
            <v>919506</v>
          </cell>
          <cell r="P33">
            <v>957348</v>
          </cell>
          <cell r="Q33">
            <v>924619</v>
          </cell>
          <cell r="R33">
            <v>962480</v>
          </cell>
        </row>
        <row r="34">
          <cell r="A34">
            <v>37</v>
          </cell>
          <cell r="B34" t="str">
            <v>Ninh Bình</v>
          </cell>
          <cell r="C34">
            <v>476162</v>
          </cell>
          <cell r="D34">
            <v>480647</v>
          </cell>
          <cell r="E34">
            <v>480593</v>
          </cell>
          <cell r="F34">
            <v>484836</v>
          </cell>
          <cell r="G34">
            <v>485331</v>
          </cell>
          <cell r="H34">
            <v>489335</v>
          </cell>
          <cell r="I34">
            <v>490383</v>
          </cell>
          <cell r="J34">
            <v>494144</v>
          </cell>
          <cell r="K34">
            <v>495994</v>
          </cell>
          <cell r="L34">
            <v>497925</v>
          </cell>
          <cell r="M34">
            <v>502806</v>
          </cell>
          <cell r="N34">
            <v>504764</v>
          </cell>
          <cell r="O34">
            <v>505669</v>
          </cell>
          <cell r="P34">
            <v>505082</v>
          </cell>
          <cell r="Q34">
            <v>508041</v>
          </cell>
          <cell r="R34">
            <v>509062</v>
          </cell>
        </row>
        <row r="35">
          <cell r="A35">
            <v>38</v>
          </cell>
          <cell r="B35" t="str">
            <v>Thanh Hoá</v>
          </cell>
          <cell r="C35">
            <v>1776683</v>
          </cell>
          <cell r="D35">
            <v>1794149</v>
          </cell>
          <cell r="E35">
            <v>1794778</v>
          </cell>
          <cell r="F35">
            <v>1808921</v>
          </cell>
          <cell r="G35">
            <v>1810270</v>
          </cell>
          <cell r="H35">
            <v>1821009</v>
          </cell>
          <cell r="I35">
            <v>1819273</v>
          </cell>
          <cell r="J35">
            <v>1826523</v>
          </cell>
          <cell r="K35">
            <v>1821477</v>
          </cell>
          <cell r="L35">
            <v>1843467</v>
          </cell>
          <cell r="M35">
            <v>1848074</v>
          </cell>
          <cell r="N35">
            <v>1868354</v>
          </cell>
          <cell r="O35">
            <v>1858336</v>
          </cell>
          <cell r="P35">
            <v>1863723</v>
          </cell>
          <cell r="Q35">
            <v>1867221</v>
          </cell>
          <cell r="R35">
            <v>1872259</v>
          </cell>
        </row>
        <row r="36">
          <cell r="A36">
            <v>40</v>
          </cell>
          <cell r="B36" t="str">
            <v>Nghệ An</v>
          </cell>
          <cell r="C36">
            <v>1597750</v>
          </cell>
          <cell r="D36">
            <v>1605362</v>
          </cell>
          <cell r="E36">
            <v>1620024</v>
          </cell>
          <cell r="F36">
            <v>1626667</v>
          </cell>
          <cell r="G36">
            <v>1643920</v>
          </cell>
          <cell r="H36">
            <v>1647500</v>
          </cell>
          <cell r="I36">
            <v>1669522</v>
          </cell>
          <cell r="J36">
            <v>1667685</v>
          </cell>
          <cell r="K36">
            <v>1684954</v>
          </cell>
          <cell r="L36">
            <v>1680244</v>
          </cell>
          <cell r="M36">
            <v>1708423</v>
          </cell>
          <cell r="N36">
            <v>1701389</v>
          </cell>
          <cell r="O36">
            <v>1711827</v>
          </cell>
          <cell r="P36">
            <v>1708162</v>
          </cell>
          <cell r="Q36">
            <v>1724496</v>
          </cell>
          <cell r="R36">
            <v>1717475</v>
          </cell>
        </row>
        <row r="37">
          <cell r="A37">
            <v>42</v>
          </cell>
          <cell r="B37" t="str">
            <v>Hà Tĩnh</v>
          </cell>
          <cell r="C37">
            <v>628749</v>
          </cell>
          <cell r="D37">
            <v>637974</v>
          </cell>
          <cell r="E37">
            <v>632827</v>
          </cell>
          <cell r="F37">
            <v>641412</v>
          </cell>
          <cell r="G37">
            <v>636292</v>
          </cell>
          <cell r="H37">
            <v>644221</v>
          </cell>
          <cell r="I37">
            <v>641489</v>
          </cell>
          <cell r="J37">
            <v>648774</v>
          </cell>
          <cell r="K37">
            <v>642159</v>
          </cell>
          <cell r="L37">
            <v>654463</v>
          </cell>
          <cell r="M37">
            <v>650793</v>
          </cell>
          <cell r="N37">
            <v>663263</v>
          </cell>
          <cell r="O37">
            <v>658394</v>
          </cell>
          <cell r="P37">
            <v>665351</v>
          </cell>
          <cell r="Q37">
            <v>658394</v>
          </cell>
          <cell r="R37">
            <v>665352</v>
          </cell>
        </row>
        <row r="38">
          <cell r="A38">
            <v>44</v>
          </cell>
          <cell r="B38" t="str">
            <v>Quảng Bình</v>
          </cell>
          <cell r="C38">
            <v>440453</v>
          </cell>
          <cell r="D38">
            <v>440186</v>
          </cell>
          <cell r="E38">
            <v>443303</v>
          </cell>
          <cell r="F38">
            <v>442422</v>
          </cell>
          <cell r="G38">
            <v>446810</v>
          </cell>
          <cell r="H38">
            <v>444328</v>
          </cell>
          <cell r="I38">
            <v>449914</v>
          </cell>
          <cell r="J38">
            <v>446687</v>
          </cell>
          <cell r="K38">
            <v>452848</v>
          </cell>
          <cell r="L38">
            <v>449135</v>
          </cell>
          <cell r="M38">
            <v>457401</v>
          </cell>
          <cell r="N38">
            <v>453254</v>
          </cell>
          <cell r="O38">
            <v>460265</v>
          </cell>
          <cell r="P38">
            <v>453597</v>
          </cell>
          <cell r="Q38">
            <v>462730</v>
          </cell>
          <cell r="R38">
            <v>455935</v>
          </cell>
        </row>
        <row r="39">
          <cell r="A39">
            <v>45</v>
          </cell>
          <cell r="B39" t="str">
            <v>Quảng Trị</v>
          </cell>
          <cell r="C39">
            <v>307762</v>
          </cell>
          <cell r="D39">
            <v>313836</v>
          </cell>
          <cell r="E39">
            <v>309772</v>
          </cell>
          <cell r="F39">
            <v>315500</v>
          </cell>
          <cell r="G39">
            <v>312076</v>
          </cell>
          <cell r="H39">
            <v>317658</v>
          </cell>
          <cell r="I39">
            <v>314056</v>
          </cell>
          <cell r="J39">
            <v>319384</v>
          </cell>
          <cell r="K39">
            <v>316012</v>
          </cell>
          <cell r="L39">
            <v>321373</v>
          </cell>
          <cell r="M39">
            <v>321786</v>
          </cell>
          <cell r="N39">
            <v>326004</v>
          </cell>
          <cell r="O39">
            <v>324027</v>
          </cell>
          <cell r="P39">
            <v>326919</v>
          </cell>
          <cell r="Q39">
            <v>325830</v>
          </cell>
          <cell r="R39">
            <v>328368</v>
          </cell>
        </row>
        <row r="40">
          <cell r="A40">
            <v>46</v>
          </cell>
          <cell r="B40" t="str">
            <v>Thừa Thiên Huế</v>
          </cell>
          <cell r="C40">
            <v>552991</v>
          </cell>
          <cell r="D40">
            <v>564994</v>
          </cell>
          <cell r="E40">
            <v>555733</v>
          </cell>
          <cell r="F40">
            <v>567624</v>
          </cell>
          <cell r="G40">
            <v>556860</v>
          </cell>
          <cell r="H40">
            <v>568602</v>
          </cell>
          <cell r="I40">
            <v>559000</v>
          </cell>
          <cell r="J40">
            <v>570500</v>
          </cell>
          <cell r="K40">
            <v>561241</v>
          </cell>
          <cell r="L40">
            <v>572351</v>
          </cell>
          <cell r="M40">
            <v>571245</v>
          </cell>
          <cell r="N40">
            <v>582550</v>
          </cell>
          <cell r="O40">
            <v>578223</v>
          </cell>
          <cell r="P40">
            <v>582001</v>
          </cell>
          <cell r="Q40">
            <v>581433</v>
          </cell>
          <cell r="R40">
            <v>585114</v>
          </cell>
        </row>
        <row r="41">
          <cell r="A41">
            <v>48</v>
          </cell>
          <cell r="B41" t="str">
            <v>Đà Nẵng</v>
          </cell>
          <cell r="C41">
            <v>532559</v>
          </cell>
          <cell r="D41">
            <v>547727</v>
          </cell>
          <cell r="E41">
            <v>541200</v>
          </cell>
          <cell r="F41">
            <v>556628</v>
          </cell>
          <cell r="G41">
            <v>549290</v>
          </cell>
          <cell r="H41">
            <v>565076</v>
          </cell>
          <cell r="I41">
            <v>562444</v>
          </cell>
          <cell r="J41">
            <v>578681</v>
          </cell>
          <cell r="K41">
            <v>578565</v>
          </cell>
          <cell r="L41">
            <v>590915</v>
          </cell>
          <cell r="M41">
            <v>591432</v>
          </cell>
          <cell r="N41">
            <v>604056</v>
          </cell>
          <cell r="O41">
            <v>604481</v>
          </cell>
          <cell r="P41">
            <v>615706</v>
          </cell>
          <cell r="Q41">
            <v>617127</v>
          </cell>
          <cell r="R41">
            <v>628087</v>
          </cell>
        </row>
        <row r="42">
          <cell r="A42">
            <v>49</v>
          </cell>
          <cell r="B42" t="str">
            <v>Quảng Nam</v>
          </cell>
          <cell r="C42">
            <v>724018</v>
          </cell>
          <cell r="D42">
            <v>751732</v>
          </cell>
          <cell r="E42">
            <v>728486</v>
          </cell>
          <cell r="F42">
            <v>754802</v>
          </cell>
          <cell r="G42">
            <v>732823</v>
          </cell>
          <cell r="H42">
            <v>757941</v>
          </cell>
          <cell r="I42">
            <v>736547</v>
          </cell>
          <cell r="J42">
            <v>760932</v>
          </cell>
          <cell r="K42">
            <v>740357</v>
          </cell>
          <cell r="L42">
            <v>764685</v>
          </cell>
          <cell r="M42">
            <v>746966</v>
          </cell>
          <cell r="N42">
            <v>771511</v>
          </cell>
          <cell r="O42">
            <v>750470</v>
          </cell>
          <cell r="P42">
            <v>768911</v>
          </cell>
          <cell r="Q42">
            <v>753843</v>
          </cell>
          <cell r="R42">
            <v>772212</v>
          </cell>
        </row>
        <row r="43">
          <cell r="A43">
            <v>51</v>
          </cell>
          <cell r="B43" t="str">
            <v>Quảng Ngãi</v>
          </cell>
          <cell r="C43">
            <v>606247</v>
          </cell>
          <cell r="D43">
            <v>621216</v>
          </cell>
          <cell r="E43">
            <v>607206</v>
          </cell>
          <cell r="F43">
            <v>621800</v>
          </cell>
          <cell r="G43">
            <v>608166</v>
          </cell>
          <cell r="H43">
            <v>622398</v>
          </cell>
          <cell r="I43">
            <v>608931</v>
          </cell>
          <cell r="J43">
            <v>622962</v>
          </cell>
          <cell r="K43">
            <v>609700</v>
          </cell>
          <cell r="L43">
            <v>623696</v>
          </cell>
          <cell r="M43">
            <v>615007</v>
          </cell>
          <cell r="N43">
            <v>629125</v>
          </cell>
          <cell r="O43">
            <v>620096</v>
          </cell>
          <cell r="P43">
            <v>625553</v>
          </cell>
          <cell r="Q43">
            <v>621384</v>
          </cell>
          <cell r="R43">
            <v>626728</v>
          </cell>
        </row>
        <row r="44">
          <cell r="A44">
            <v>52</v>
          </cell>
          <cell r="B44" t="str">
            <v>Bình Định</v>
          </cell>
          <cell r="C44">
            <v>727751</v>
          </cell>
          <cell r="D44">
            <v>759933</v>
          </cell>
          <cell r="E44">
            <v>729068</v>
          </cell>
          <cell r="F44">
            <v>758651</v>
          </cell>
          <cell r="G44">
            <v>730679</v>
          </cell>
          <cell r="H44">
            <v>757092</v>
          </cell>
          <cell r="I44">
            <v>732712</v>
          </cell>
          <cell r="J44">
            <v>755105</v>
          </cell>
          <cell r="K44">
            <v>732807</v>
          </cell>
          <cell r="L44">
            <v>755097</v>
          </cell>
          <cell r="M44">
            <v>742865</v>
          </cell>
          <cell r="N44">
            <v>765457</v>
          </cell>
          <cell r="O44">
            <v>747877</v>
          </cell>
          <cell r="P44">
            <v>756408</v>
          </cell>
          <cell r="Q44">
            <v>748969</v>
          </cell>
          <cell r="R44">
            <v>757362</v>
          </cell>
        </row>
        <row r="45">
          <cell r="A45">
            <v>54</v>
          </cell>
          <cell r="B45" t="str">
            <v>Phú Yên</v>
          </cell>
          <cell r="C45">
            <v>436052</v>
          </cell>
          <cell r="D45">
            <v>432097</v>
          </cell>
          <cell r="E45">
            <v>437225</v>
          </cell>
          <cell r="F45">
            <v>432823</v>
          </cell>
          <cell r="G45">
            <v>438173</v>
          </cell>
          <cell r="H45">
            <v>433322</v>
          </cell>
          <cell r="I45">
            <v>439234</v>
          </cell>
          <cell r="J45">
            <v>433930</v>
          </cell>
          <cell r="K45">
            <v>439703</v>
          </cell>
          <cell r="L45">
            <v>434592</v>
          </cell>
          <cell r="M45">
            <v>440314</v>
          </cell>
          <cell r="N45">
            <v>435221</v>
          </cell>
          <cell r="O45">
            <v>441867</v>
          </cell>
          <cell r="P45">
            <v>434752</v>
          </cell>
          <cell r="Q45">
            <v>442458</v>
          </cell>
          <cell r="R45">
            <v>435246</v>
          </cell>
        </row>
        <row r="46">
          <cell r="A46">
            <v>56</v>
          </cell>
          <cell r="B46" t="str">
            <v>Khánh Hoà</v>
          </cell>
          <cell r="C46">
            <v>599334</v>
          </cell>
          <cell r="D46">
            <v>607829</v>
          </cell>
          <cell r="E46">
            <v>604323</v>
          </cell>
          <cell r="F46">
            <v>611966</v>
          </cell>
          <cell r="G46">
            <v>608864</v>
          </cell>
          <cell r="H46">
            <v>615621</v>
          </cell>
          <cell r="I46">
            <v>613482</v>
          </cell>
          <cell r="J46">
            <v>619400</v>
          </cell>
          <cell r="K46">
            <v>617695</v>
          </cell>
          <cell r="L46">
            <v>622741</v>
          </cell>
          <cell r="M46">
            <v>621398</v>
          </cell>
          <cell r="N46">
            <v>626664</v>
          </cell>
          <cell r="O46">
            <v>625298</v>
          </cell>
          <cell r="P46">
            <v>628671</v>
          </cell>
          <cell r="Q46">
            <v>628613</v>
          </cell>
          <cell r="R46">
            <v>632011</v>
          </cell>
        </row>
        <row r="47">
          <cell r="A47">
            <v>58</v>
          </cell>
          <cell r="B47" t="str">
            <v>Ninh Thuận</v>
          </cell>
          <cell r="C47">
            <v>291041</v>
          </cell>
          <cell r="D47">
            <v>290456</v>
          </cell>
          <cell r="E47">
            <v>293160</v>
          </cell>
          <cell r="F47">
            <v>292215</v>
          </cell>
          <cell r="G47">
            <v>295085</v>
          </cell>
          <cell r="H47">
            <v>293775</v>
          </cell>
          <cell r="I47">
            <v>296353</v>
          </cell>
          <cell r="J47">
            <v>294679</v>
          </cell>
          <cell r="K47">
            <v>299884</v>
          </cell>
          <cell r="L47">
            <v>293760</v>
          </cell>
          <cell r="M47">
            <v>301099</v>
          </cell>
          <cell r="N47">
            <v>294950</v>
          </cell>
          <cell r="O47">
            <v>303429</v>
          </cell>
          <cell r="P47">
            <v>295254</v>
          </cell>
          <cell r="Q47">
            <v>304743</v>
          </cell>
          <cell r="R47">
            <v>296473</v>
          </cell>
        </row>
        <row r="48">
          <cell r="A48">
            <v>60</v>
          </cell>
          <cell r="B48" t="str">
            <v>Bình Thuận</v>
          </cell>
          <cell r="C48">
            <v>609163</v>
          </cell>
          <cell r="D48">
            <v>604399</v>
          </cell>
          <cell r="E48">
            <v>612832</v>
          </cell>
          <cell r="F48">
            <v>607635</v>
          </cell>
          <cell r="G48">
            <v>616452</v>
          </cell>
          <cell r="H48">
            <v>610817</v>
          </cell>
          <cell r="I48">
            <v>619167</v>
          </cell>
          <cell r="J48">
            <v>613100</v>
          </cell>
          <cell r="K48">
            <v>623104</v>
          </cell>
          <cell r="L48">
            <v>616151</v>
          </cell>
          <cell r="M48">
            <v>626974</v>
          </cell>
          <cell r="N48">
            <v>619333</v>
          </cell>
          <cell r="O48">
            <v>631191</v>
          </cell>
          <cell r="P48">
            <v>620865</v>
          </cell>
          <cell r="Q48">
            <v>634587</v>
          </cell>
          <cell r="R48">
            <v>624202</v>
          </cell>
        </row>
        <row r="49">
          <cell r="A49">
            <v>62</v>
          </cell>
          <cell r="B49" t="str">
            <v>Kon Tum</v>
          </cell>
          <cell r="C49">
            <v>255767</v>
          </cell>
          <cell r="D49">
            <v>252051</v>
          </cell>
          <cell r="E49">
            <v>261725</v>
          </cell>
          <cell r="F49">
            <v>258323</v>
          </cell>
          <cell r="G49">
            <v>267714</v>
          </cell>
          <cell r="H49">
            <v>264644</v>
          </cell>
          <cell r="I49">
            <v>273083</v>
          </cell>
          <cell r="J49">
            <v>270369</v>
          </cell>
          <cell r="K49">
            <v>278964</v>
          </cell>
          <cell r="L49">
            <v>276681</v>
          </cell>
          <cell r="M49">
            <v>285399</v>
          </cell>
          <cell r="N49">
            <v>283381</v>
          </cell>
          <cell r="O49">
            <v>291429</v>
          </cell>
          <cell r="P49">
            <v>288485</v>
          </cell>
          <cell r="Q49">
            <v>297593</v>
          </cell>
          <cell r="R49">
            <v>293673</v>
          </cell>
        </row>
        <row r="50">
          <cell r="A50">
            <v>64</v>
          </cell>
          <cell r="B50" t="str">
            <v>Gia Lai</v>
          </cell>
          <cell r="C50">
            <v>725551</v>
          </cell>
          <cell r="D50">
            <v>721582</v>
          </cell>
          <cell r="E50">
            <v>736337</v>
          </cell>
          <cell r="F50">
            <v>732597</v>
          </cell>
          <cell r="G50">
            <v>749578</v>
          </cell>
          <cell r="H50">
            <v>746065</v>
          </cell>
          <cell r="I50">
            <v>761714</v>
          </cell>
          <cell r="J50">
            <v>758441</v>
          </cell>
          <cell r="K50">
            <v>773095</v>
          </cell>
          <cell r="L50">
            <v>768735</v>
          </cell>
          <cell r="M50">
            <v>787058</v>
          </cell>
          <cell r="N50">
            <v>782663</v>
          </cell>
          <cell r="O50">
            <v>797843</v>
          </cell>
          <cell r="P50">
            <v>793138</v>
          </cell>
          <cell r="Q50">
            <v>808565</v>
          </cell>
          <cell r="R50">
            <v>805330</v>
          </cell>
        </row>
        <row r="51">
          <cell r="A51">
            <v>66</v>
          </cell>
          <cell r="B51" t="str">
            <v>Đắk Lắk</v>
          </cell>
          <cell r="C51">
            <v>926293</v>
          </cell>
          <cell r="D51">
            <v>910097</v>
          </cell>
          <cell r="E51">
            <v>933199</v>
          </cell>
          <cell r="F51">
            <v>917115</v>
          </cell>
          <cell r="G51">
            <v>938732</v>
          </cell>
          <cell r="H51">
            <v>922786</v>
          </cell>
          <cell r="I51">
            <v>944189</v>
          </cell>
          <cell r="J51">
            <v>928385</v>
          </cell>
          <cell r="K51">
            <v>952219</v>
          </cell>
          <cell r="L51">
            <v>934718</v>
          </cell>
          <cell r="M51">
            <v>963281</v>
          </cell>
          <cell r="N51">
            <v>945719</v>
          </cell>
          <cell r="O51">
            <v>969540</v>
          </cell>
          <cell r="P51">
            <v>948900</v>
          </cell>
          <cell r="Q51">
            <v>976109</v>
          </cell>
          <cell r="R51">
            <v>955346</v>
          </cell>
        </row>
        <row r="52">
          <cell r="A52">
            <v>67</v>
          </cell>
          <cell r="B52" t="str">
            <v>Đắk Nông</v>
          </cell>
          <cell r="C52">
            <v>307135</v>
          </cell>
          <cell r="D52">
            <v>287296</v>
          </cell>
          <cell r="E52">
            <v>312285</v>
          </cell>
          <cell r="F52">
            <v>292607</v>
          </cell>
          <cell r="G52">
            <v>317442</v>
          </cell>
          <cell r="H52">
            <v>297978</v>
          </cell>
          <cell r="I52">
            <v>322531</v>
          </cell>
          <cell r="J52">
            <v>303291</v>
          </cell>
          <cell r="K52">
            <v>326708</v>
          </cell>
          <cell r="L52">
            <v>311199</v>
          </cell>
          <cell r="M52">
            <v>340284</v>
          </cell>
          <cell r="N52">
            <v>324132</v>
          </cell>
          <cell r="O52">
            <v>343067</v>
          </cell>
          <cell r="P52">
            <v>327491</v>
          </cell>
          <cell r="Q52">
            <v>348925</v>
          </cell>
          <cell r="R52">
            <v>333024</v>
          </cell>
        </row>
        <row r="53">
          <cell r="A53">
            <v>68</v>
          </cell>
          <cell r="B53" t="str">
            <v>Lâm Đồng</v>
          </cell>
          <cell r="C53">
            <v>639753</v>
          </cell>
          <cell r="D53">
            <v>631562</v>
          </cell>
          <cell r="E53">
            <v>644976</v>
          </cell>
          <cell r="F53">
            <v>636363</v>
          </cell>
          <cell r="G53">
            <v>650241</v>
          </cell>
          <cell r="H53">
            <v>641200</v>
          </cell>
          <cell r="I53">
            <v>654297</v>
          </cell>
          <cell r="J53">
            <v>645038</v>
          </cell>
          <cell r="K53">
            <v>659559</v>
          </cell>
          <cell r="L53">
            <v>650233</v>
          </cell>
          <cell r="M53">
            <v>665678</v>
          </cell>
          <cell r="N53">
            <v>656161</v>
          </cell>
          <cell r="O53">
            <v>671729</v>
          </cell>
          <cell r="P53">
            <v>660803</v>
          </cell>
          <cell r="Q53">
            <v>677187</v>
          </cell>
          <cell r="R53">
            <v>667810</v>
          </cell>
        </row>
        <row r="54">
          <cell r="A54">
            <v>70</v>
          </cell>
          <cell r="B54" t="str">
            <v>Bình Phước</v>
          </cell>
          <cell r="C54">
            <v>486339</v>
          </cell>
          <cell r="D54">
            <v>476336</v>
          </cell>
          <cell r="E54">
            <v>491002</v>
          </cell>
          <cell r="F54">
            <v>481608</v>
          </cell>
          <cell r="G54">
            <v>496851</v>
          </cell>
          <cell r="H54">
            <v>488059</v>
          </cell>
          <cell r="I54">
            <v>502971</v>
          </cell>
          <cell r="J54">
            <v>494795</v>
          </cell>
          <cell r="K54">
            <v>509648</v>
          </cell>
          <cell r="L54">
            <v>501428</v>
          </cell>
          <cell r="M54">
            <v>516240</v>
          </cell>
          <cell r="N54">
            <v>508045</v>
          </cell>
          <cell r="O54">
            <v>521764</v>
          </cell>
          <cell r="P54">
            <v>512903</v>
          </cell>
          <cell r="Q54">
            <v>526820</v>
          </cell>
          <cell r="R54">
            <v>518670</v>
          </cell>
        </row>
        <row r="55">
          <cell r="A55">
            <v>72</v>
          </cell>
          <cell r="B55" t="str">
            <v>Tây Ninh</v>
          </cell>
          <cell r="C55">
            <v>568757</v>
          </cell>
          <cell r="D55">
            <v>570897</v>
          </cell>
          <cell r="E55">
            <v>574704</v>
          </cell>
          <cell r="F55">
            <v>576370</v>
          </cell>
          <cell r="G55">
            <v>579751</v>
          </cell>
          <cell r="H55">
            <v>580930</v>
          </cell>
          <cell r="I55">
            <v>585500</v>
          </cell>
          <cell r="J55">
            <v>586183</v>
          </cell>
          <cell r="K55">
            <v>589501</v>
          </cell>
          <cell r="L55">
            <v>588829</v>
          </cell>
          <cell r="M55">
            <v>591291</v>
          </cell>
          <cell r="N55">
            <v>590616</v>
          </cell>
          <cell r="O55">
            <v>596184</v>
          </cell>
          <cell r="P55">
            <v>592574</v>
          </cell>
          <cell r="Q55">
            <v>599010</v>
          </cell>
          <cell r="R55">
            <v>595896</v>
          </cell>
        </row>
        <row r="56">
          <cell r="A56">
            <v>74</v>
          </cell>
          <cell r="B56" t="str">
            <v>Bình Dương</v>
          </cell>
          <cell r="C56">
            <v>1062025</v>
          </cell>
          <cell r="D56">
            <v>1076763</v>
          </cell>
          <cell r="E56">
            <v>1110944</v>
          </cell>
          <cell r="F56">
            <v>1116210</v>
          </cell>
          <cell r="G56">
            <v>1175152</v>
          </cell>
          <cell r="H56">
            <v>1170032</v>
          </cell>
          <cell r="I56">
            <v>1236400</v>
          </cell>
          <cell r="J56">
            <v>1219867</v>
          </cell>
          <cell r="K56">
            <v>1321723</v>
          </cell>
          <cell r="L56">
            <v>1258827</v>
          </cell>
          <cell r="M56">
            <v>1308561</v>
          </cell>
          <cell r="N56">
            <v>1288224</v>
          </cell>
          <cell r="O56">
            <v>1395534</v>
          </cell>
          <cell r="P56">
            <v>1367590</v>
          </cell>
          <cell r="Q56">
            <v>1466456</v>
          </cell>
          <cell r="R56">
            <v>1356972</v>
          </cell>
        </row>
        <row r="57">
          <cell r="A57">
            <v>75</v>
          </cell>
          <cell r="B57" t="str">
            <v>Đồng Nai</v>
          </cell>
          <cell r="C57">
            <v>1474978</v>
          </cell>
          <cell r="D57">
            <v>1476390</v>
          </cell>
          <cell r="E57">
            <v>1503654</v>
          </cell>
          <cell r="F57">
            <v>1501203</v>
          </cell>
          <cell r="G57">
            <v>1530770</v>
          </cell>
          <cell r="H57">
            <v>1524319</v>
          </cell>
          <cell r="I57">
            <v>1562164</v>
          </cell>
          <cell r="J57">
            <v>1551549</v>
          </cell>
          <cell r="K57">
            <v>1613109</v>
          </cell>
          <cell r="L57">
            <v>1564292</v>
          </cell>
          <cell r="M57">
            <v>1608896</v>
          </cell>
          <cell r="N57">
            <v>1560207</v>
          </cell>
          <cell r="O57">
            <v>1622210</v>
          </cell>
          <cell r="P57">
            <v>1633596</v>
          </cell>
          <cell r="Q57">
            <v>1649807</v>
          </cell>
          <cell r="R57">
            <v>1661055</v>
          </cell>
        </row>
        <row r="58">
          <cell r="A58">
            <v>77</v>
          </cell>
          <cell r="B58" t="str">
            <v>Bà Rịa-Vũng Tàu(***)</v>
          </cell>
          <cell r="C58">
            <v>560182</v>
          </cell>
          <cell r="D58">
            <v>557425</v>
          </cell>
          <cell r="E58">
            <v>565300</v>
          </cell>
          <cell r="F58">
            <v>561998</v>
          </cell>
          <cell r="G58">
            <v>571016</v>
          </cell>
          <cell r="H58">
            <v>567265</v>
          </cell>
          <cell r="I58">
            <v>578246</v>
          </cell>
          <cell r="J58">
            <v>573972</v>
          </cell>
          <cell r="K58">
            <v>578968</v>
          </cell>
          <cell r="L58">
            <v>588970</v>
          </cell>
          <cell r="M58">
            <v>583004</v>
          </cell>
          <cell r="N58">
            <v>593075</v>
          </cell>
          <cell r="O58">
            <v>587828</v>
          </cell>
          <cell r="P58">
            <v>590867</v>
          </cell>
          <cell r="Q58">
            <v>592279</v>
          </cell>
          <cell r="R58">
            <v>595222</v>
          </cell>
        </row>
        <row r="59">
          <cell r="A59">
            <v>79</v>
          </cell>
          <cell r="B59" t="str">
            <v>TP Hồ Chí Minh</v>
          </cell>
          <cell r="C59">
            <v>4114204</v>
          </cell>
          <cell r="D59">
            <v>4364937</v>
          </cell>
          <cell r="E59">
            <v>4203137</v>
          </cell>
          <cell r="F59">
            <v>4446509</v>
          </cell>
          <cell r="G59">
            <v>4303576</v>
          </cell>
          <cell r="H59">
            <v>4539698</v>
          </cell>
          <cell r="I59">
            <v>4405114</v>
          </cell>
          <cell r="J59">
            <v>4633400</v>
          </cell>
          <cell r="K59">
            <v>4525293</v>
          </cell>
          <cell r="L59">
            <v>4702305</v>
          </cell>
          <cell r="M59">
            <v>4510396</v>
          </cell>
          <cell r="N59">
            <v>4656445</v>
          </cell>
          <cell r="O59">
            <v>4576367</v>
          </cell>
          <cell r="P59">
            <v>4813350</v>
          </cell>
          <cell r="Q59">
            <v>4584213</v>
          </cell>
          <cell r="R59">
            <v>4872448</v>
          </cell>
        </row>
        <row r="60">
          <cell r="A60">
            <v>80</v>
          </cell>
          <cell r="B60" t="str">
            <v>Long An</v>
          </cell>
          <cell r="C60">
            <v>819535</v>
          </cell>
          <cell r="D60">
            <v>825680</v>
          </cell>
          <cell r="E60">
            <v>828398</v>
          </cell>
          <cell r="F60">
            <v>833882</v>
          </cell>
          <cell r="G60">
            <v>837061</v>
          </cell>
          <cell r="H60">
            <v>841868</v>
          </cell>
          <cell r="I60">
            <v>845518</v>
          </cell>
          <cell r="J60">
            <v>849632</v>
          </cell>
          <cell r="K60">
            <v>855458</v>
          </cell>
          <cell r="L60">
            <v>858200</v>
          </cell>
          <cell r="M60">
            <v>861495</v>
          </cell>
          <cell r="N60">
            <v>864257</v>
          </cell>
          <cell r="O60">
            <v>865916</v>
          </cell>
          <cell r="P60">
            <v>868343</v>
          </cell>
          <cell r="Q60">
            <v>870582</v>
          </cell>
          <cell r="R60">
            <v>872848</v>
          </cell>
        </row>
        <row r="61">
          <cell r="A61">
            <v>82</v>
          </cell>
          <cell r="B61" t="str">
            <v>Tiền Giang</v>
          </cell>
          <cell r="C61">
            <v>853535</v>
          </cell>
          <cell r="D61">
            <v>886603</v>
          </cell>
          <cell r="E61">
            <v>859279</v>
          </cell>
          <cell r="F61">
            <v>892500</v>
          </cell>
          <cell r="G61">
            <v>862997</v>
          </cell>
          <cell r="H61">
            <v>896068</v>
          </cell>
          <cell r="I61">
            <v>866861</v>
          </cell>
          <cell r="J61">
            <v>899428</v>
          </cell>
          <cell r="K61">
            <v>868873</v>
          </cell>
          <cell r="L61">
            <v>903671</v>
          </cell>
          <cell r="M61">
            <v>872130</v>
          </cell>
          <cell r="N61">
            <v>907286</v>
          </cell>
          <cell r="O61">
            <v>878872</v>
          </cell>
          <cell r="P61">
            <v>906364</v>
          </cell>
          <cell r="Q61">
            <v>881628</v>
          </cell>
          <cell r="R61">
            <v>909025</v>
          </cell>
        </row>
        <row r="62">
          <cell r="A62">
            <v>83</v>
          </cell>
          <cell r="B62" t="str">
            <v>Bến Tre</v>
          </cell>
          <cell r="C62">
            <v>626133</v>
          </cell>
          <cell r="D62">
            <v>652486</v>
          </cell>
          <cell r="E62">
            <v>627835</v>
          </cell>
          <cell r="F62">
            <v>654602</v>
          </cell>
          <cell r="G62">
            <v>629395</v>
          </cell>
          <cell r="H62">
            <v>656568</v>
          </cell>
          <cell r="I62">
            <v>630762</v>
          </cell>
          <cell r="J62">
            <v>658400</v>
          </cell>
          <cell r="K62">
            <v>633103</v>
          </cell>
          <cell r="L62">
            <v>659294</v>
          </cell>
          <cell r="M62">
            <v>634723</v>
          </cell>
          <cell r="N62">
            <v>660982</v>
          </cell>
          <cell r="O62">
            <v>640462</v>
          </cell>
          <cell r="P62">
            <v>657544</v>
          </cell>
          <cell r="Q62">
            <v>641179</v>
          </cell>
          <cell r="R62">
            <v>658149</v>
          </cell>
        </row>
        <row r="63">
          <cell r="A63">
            <v>84</v>
          </cell>
          <cell r="B63" t="str">
            <v>Trà Vinh</v>
          </cell>
          <cell r="C63">
            <v>496194</v>
          </cell>
          <cell r="D63">
            <v>511366</v>
          </cell>
          <cell r="E63">
            <v>496367</v>
          </cell>
          <cell r="F63">
            <v>511720</v>
          </cell>
          <cell r="G63">
            <v>496686</v>
          </cell>
          <cell r="H63">
            <v>512098</v>
          </cell>
          <cell r="I63">
            <v>496928</v>
          </cell>
          <cell r="J63">
            <v>512394</v>
          </cell>
          <cell r="K63">
            <v>496890</v>
          </cell>
          <cell r="L63">
            <v>513049</v>
          </cell>
          <cell r="M63">
            <v>501168</v>
          </cell>
          <cell r="N63">
            <v>517467</v>
          </cell>
          <cell r="O63">
            <v>503316</v>
          </cell>
          <cell r="P63">
            <v>515942</v>
          </cell>
          <cell r="Q63">
            <v>503675</v>
          </cell>
          <cell r="R63">
            <v>516207</v>
          </cell>
        </row>
        <row r="64">
          <cell r="A64">
            <v>86</v>
          </cell>
          <cell r="B64" t="str">
            <v>Vĩnh Long</v>
          </cell>
          <cell r="C64">
            <v>503787</v>
          </cell>
          <cell r="D64">
            <v>519069</v>
          </cell>
          <cell r="E64">
            <v>503714</v>
          </cell>
          <cell r="F64">
            <v>518903</v>
          </cell>
          <cell r="G64">
            <v>503791</v>
          </cell>
          <cell r="H64">
            <v>518891</v>
          </cell>
          <cell r="I64">
            <v>503788</v>
          </cell>
          <cell r="J64">
            <v>518831</v>
          </cell>
          <cell r="K64">
            <v>503944</v>
          </cell>
          <cell r="L64">
            <v>519027</v>
          </cell>
          <cell r="M64">
            <v>506967</v>
          </cell>
          <cell r="N64">
            <v>522048</v>
          </cell>
          <cell r="O64">
            <v>508715</v>
          </cell>
          <cell r="P64">
            <v>520107</v>
          </cell>
          <cell r="Q64">
            <v>509166</v>
          </cell>
          <cell r="R64">
            <v>520464</v>
          </cell>
        </row>
        <row r="65">
          <cell r="A65">
            <v>87</v>
          </cell>
          <cell r="B65" t="str">
            <v>Đồng Tháp</v>
          </cell>
          <cell r="C65">
            <v>808398</v>
          </cell>
          <cell r="D65">
            <v>810613</v>
          </cell>
          <cell r="E65">
            <v>805350</v>
          </cell>
          <cell r="F65">
            <v>807139</v>
          </cell>
          <cell r="G65">
            <v>802351</v>
          </cell>
          <cell r="H65">
            <v>803718</v>
          </cell>
          <cell r="I65">
            <v>798855</v>
          </cell>
          <cell r="J65">
            <v>799899</v>
          </cell>
          <cell r="K65">
            <v>799246</v>
          </cell>
          <cell r="L65">
            <v>800768</v>
          </cell>
          <cell r="M65">
            <v>799894</v>
          </cell>
          <cell r="N65">
            <v>801412</v>
          </cell>
          <cell r="O65">
            <v>800163</v>
          </cell>
          <cell r="P65">
            <v>800007</v>
          </cell>
          <cell r="Q65">
            <v>801072</v>
          </cell>
          <cell r="R65">
            <v>799178</v>
          </cell>
        </row>
        <row r="66">
          <cell r="A66">
            <v>89</v>
          </cell>
          <cell r="B66" t="str">
            <v>An Giang</v>
          </cell>
          <cell r="C66">
            <v>981487</v>
          </cell>
          <cell r="D66">
            <v>994885</v>
          </cell>
          <cell r="E66">
            <v>970413</v>
          </cell>
          <cell r="F66">
            <v>983764</v>
          </cell>
          <cell r="G66">
            <v>958881</v>
          </cell>
          <cell r="H66">
            <v>972173</v>
          </cell>
          <cell r="I66">
            <v>947098</v>
          </cell>
          <cell r="J66">
            <v>960303</v>
          </cell>
          <cell r="K66">
            <v>945600</v>
          </cell>
          <cell r="L66">
            <v>958932</v>
          </cell>
          <cell r="M66">
            <v>948146</v>
          </cell>
          <cell r="N66">
            <v>961360</v>
          </cell>
          <cell r="O66">
            <v>946151</v>
          </cell>
          <cell r="P66">
            <v>959365</v>
          </cell>
          <cell r="Q66">
            <v>946558</v>
          </cell>
          <cell r="R66">
            <v>959707</v>
          </cell>
        </row>
        <row r="67">
          <cell r="A67">
            <v>91</v>
          </cell>
          <cell r="B67" t="str">
            <v>Kiên Giang</v>
          </cell>
          <cell r="C67">
            <v>865024</v>
          </cell>
          <cell r="D67">
            <v>843684</v>
          </cell>
          <cell r="E67">
            <v>867516</v>
          </cell>
          <cell r="F67">
            <v>845375</v>
          </cell>
          <cell r="G67">
            <v>870546</v>
          </cell>
          <cell r="H67">
            <v>847584</v>
          </cell>
          <cell r="I67">
            <v>873744</v>
          </cell>
          <cell r="J67">
            <v>849951</v>
          </cell>
          <cell r="K67">
            <v>876537</v>
          </cell>
          <cell r="L67">
            <v>852332</v>
          </cell>
          <cell r="M67">
            <v>888980</v>
          </cell>
          <cell r="N67">
            <v>863341</v>
          </cell>
          <cell r="O67">
            <v>896337</v>
          </cell>
          <cell r="P67">
            <v>855421</v>
          </cell>
          <cell r="Q67">
            <v>898256</v>
          </cell>
          <cell r="R67">
            <v>857081</v>
          </cell>
        </row>
        <row r="68">
          <cell r="A68">
            <v>92</v>
          </cell>
          <cell r="B68" t="str">
            <v>Cần Thơ</v>
          </cell>
          <cell r="C68">
            <v>602406</v>
          </cell>
          <cell r="D68">
            <v>612184</v>
          </cell>
          <cell r="E68">
            <v>606262</v>
          </cell>
          <cell r="F68">
            <v>616100</v>
          </cell>
          <cell r="G68">
            <v>608879</v>
          </cell>
          <cell r="H68">
            <v>618800</v>
          </cell>
          <cell r="I68">
            <v>612947</v>
          </cell>
          <cell r="J68">
            <v>623007</v>
          </cell>
          <cell r="K68">
            <v>616141</v>
          </cell>
          <cell r="L68">
            <v>624590</v>
          </cell>
          <cell r="M68">
            <v>619115</v>
          </cell>
          <cell r="N68">
            <v>627878</v>
          </cell>
          <cell r="O68">
            <v>621648</v>
          </cell>
          <cell r="P68">
            <v>630700</v>
          </cell>
          <cell r="Q68">
            <v>625056</v>
          </cell>
          <cell r="R68">
            <v>633820</v>
          </cell>
        </row>
        <row r="69">
          <cell r="A69">
            <v>93</v>
          </cell>
          <cell r="B69" t="str">
            <v>Hậu Giang</v>
          </cell>
          <cell r="C69">
            <v>370475</v>
          </cell>
          <cell r="D69">
            <v>369584</v>
          </cell>
          <cell r="E69">
            <v>368802</v>
          </cell>
          <cell r="F69">
            <v>368450</v>
          </cell>
          <cell r="G69">
            <v>367361</v>
          </cell>
          <cell r="H69">
            <v>367542</v>
          </cell>
          <cell r="I69">
            <v>365726</v>
          </cell>
          <cell r="J69">
            <v>366436</v>
          </cell>
          <cell r="K69">
            <v>367398</v>
          </cell>
          <cell r="L69">
            <v>362382</v>
          </cell>
          <cell r="M69">
            <v>367453</v>
          </cell>
          <cell r="N69">
            <v>362436</v>
          </cell>
          <cell r="O69">
            <v>369240</v>
          </cell>
          <cell r="P69">
            <v>360227</v>
          </cell>
          <cell r="Q69">
            <v>368682</v>
          </cell>
          <cell r="R69">
            <v>359611</v>
          </cell>
        </row>
        <row r="70">
          <cell r="A70">
            <v>94</v>
          </cell>
          <cell r="B70" t="str">
            <v>Sóc Trăng</v>
          </cell>
          <cell r="C70">
            <v>611359</v>
          </cell>
          <cell r="D70">
            <v>616217</v>
          </cell>
          <cell r="E70">
            <v>606920</v>
          </cell>
          <cell r="F70">
            <v>611395</v>
          </cell>
          <cell r="G70">
            <v>602362</v>
          </cell>
          <cell r="H70">
            <v>606460</v>
          </cell>
          <cell r="I70">
            <v>597901</v>
          </cell>
          <cell r="J70">
            <v>601627</v>
          </cell>
          <cell r="K70">
            <v>595899</v>
          </cell>
          <cell r="L70">
            <v>599842</v>
          </cell>
          <cell r="M70">
            <v>601419</v>
          </cell>
          <cell r="N70">
            <v>605399</v>
          </cell>
          <cell r="O70">
            <v>606396</v>
          </cell>
          <cell r="P70">
            <v>591427</v>
          </cell>
          <cell r="Q70">
            <v>606910</v>
          </cell>
          <cell r="R70">
            <v>591889</v>
          </cell>
        </row>
        <row r="71">
          <cell r="A71">
            <v>95</v>
          </cell>
          <cell r="B71" t="str">
            <v>Bạc Liêu</v>
          </cell>
          <cell r="C71">
            <v>446333</v>
          </cell>
          <cell r="D71">
            <v>446469</v>
          </cell>
          <cell r="E71">
            <v>448954</v>
          </cell>
          <cell r="F71">
            <v>448764</v>
          </cell>
          <cell r="G71">
            <v>451744</v>
          </cell>
          <cell r="H71">
            <v>451220</v>
          </cell>
          <cell r="I71">
            <v>454550</v>
          </cell>
          <cell r="J71">
            <v>453691</v>
          </cell>
          <cell r="K71">
            <v>457072</v>
          </cell>
          <cell r="L71">
            <v>456409</v>
          </cell>
          <cell r="M71">
            <v>459488</v>
          </cell>
          <cell r="N71">
            <v>459022</v>
          </cell>
          <cell r="O71">
            <v>462136</v>
          </cell>
          <cell r="P71">
            <v>459673</v>
          </cell>
          <cell r="Q71">
            <v>463881</v>
          </cell>
          <cell r="R71">
            <v>461289</v>
          </cell>
        </row>
        <row r="72">
          <cell r="A72">
            <v>96</v>
          </cell>
          <cell r="B72" t="str">
            <v>Cà Mau</v>
          </cell>
          <cell r="C72">
            <v>605451</v>
          </cell>
          <cell r="D72">
            <v>592669</v>
          </cell>
          <cell r="E72">
            <v>605343</v>
          </cell>
          <cell r="F72">
            <v>591636</v>
          </cell>
          <cell r="G72">
            <v>605095</v>
          </cell>
          <cell r="H72">
            <v>590400</v>
          </cell>
          <cell r="I72">
            <v>604903</v>
          </cell>
          <cell r="J72">
            <v>589378</v>
          </cell>
          <cell r="K72">
            <v>604737</v>
          </cell>
          <cell r="L72">
            <v>589157</v>
          </cell>
          <cell r="M72">
            <v>612263</v>
          </cell>
          <cell r="N72">
            <v>596489</v>
          </cell>
          <cell r="O72">
            <v>617166</v>
          </cell>
          <cell r="P72">
            <v>590461</v>
          </cell>
          <cell r="Q72">
            <v>617097</v>
          </cell>
          <cell r="R72">
            <v>590277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10">
          <cell r="A10" t="str">
            <v>01</v>
          </cell>
          <cell r="B10" t="str">
            <v>Hà Nội</v>
          </cell>
          <cell r="C10">
            <v>3733023</v>
          </cell>
          <cell r="D10">
            <v>3857743</v>
          </cell>
          <cell r="E10">
            <v>3809953</v>
          </cell>
          <cell r="F10">
            <v>3932235</v>
          </cell>
          <cell r="G10">
            <v>3904833</v>
          </cell>
          <cell r="H10">
            <v>4009600</v>
          </cell>
          <cell r="I10">
            <v>4000320</v>
          </cell>
          <cell r="J10">
            <v>4093571</v>
          </cell>
          <cell r="K10">
            <v>4061063</v>
          </cell>
          <cell r="L10">
            <v>4185476</v>
          </cell>
          <cell r="M10">
            <v>4095366</v>
          </cell>
          <cell r="N10">
            <v>4235468</v>
          </cell>
          <cell r="O10">
            <v>4138505</v>
          </cell>
          <cell r="P10">
            <v>4297147</v>
          </cell>
          <cell r="Q10">
            <v>4212992</v>
          </cell>
          <cell r="R10">
            <v>4374089</v>
          </cell>
        </row>
        <row r="11">
          <cell r="A11" t="str">
            <v>02</v>
          </cell>
          <cell r="B11" t="str">
            <v>Hà Giang</v>
          </cell>
          <cell r="C11">
            <v>122993</v>
          </cell>
          <cell r="D11">
            <v>697434</v>
          </cell>
          <cell r="E11">
            <v>125248</v>
          </cell>
          <cell r="F11">
            <v>708500</v>
          </cell>
          <cell r="G11">
            <v>127621</v>
          </cell>
          <cell r="H11">
            <v>718910</v>
          </cell>
          <cell r="I11">
            <v>137169</v>
          </cell>
          <cell r="J11">
            <v>720922</v>
          </cell>
          <cell r="K11">
            <v>137890</v>
          </cell>
          <cell r="L11">
            <v>732350</v>
          </cell>
          <cell r="M11">
            <v>140327</v>
          </cell>
          <cell r="N11">
            <v>746759</v>
          </cell>
          <cell r="O11">
            <v>142345</v>
          </cell>
          <cell r="P11">
            <v>750378</v>
          </cell>
          <cell r="Q11">
            <v>145084</v>
          </cell>
          <cell r="R11">
            <v>754816</v>
          </cell>
        </row>
        <row r="12">
          <cell r="A12" t="str">
            <v>04</v>
          </cell>
          <cell r="B12" t="str">
            <v>Cao Bằng</v>
          </cell>
          <cell r="C12">
            <v>111482</v>
          </cell>
          <cell r="D12">
            <v>412753</v>
          </cell>
          <cell r="E12">
            <v>115520</v>
          </cell>
          <cell r="F12">
            <v>410898</v>
          </cell>
          <cell r="G12">
            <v>119882</v>
          </cell>
          <cell r="H12">
            <v>408774</v>
          </cell>
          <cell r="I12">
            <v>124516</v>
          </cell>
          <cell r="J12">
            <v>406340</v>
          </cell>
          <cell r="K12">
            <v>136011</v>
          </cell>
          <cell r="L12">
            <v>397075</v>
          </cell>
          <cell r="M12">
            <v>138178</v>
          </cell>
          <cell r="N12">
            <v>404039</v>
          </cell>
          <cell r="O12">
            <v>138465</v>
          </cell>
          <cell r="P12">
            <v>404587</v>
          </cell>
          <cell r="Q12">
            <v>139535</v>
          </cell>
          <cell r="R12">
            <v>408323</v>
          </cell>
        </row>
        <row r="13">
          <cell r="A13">
            <v>6</v>
          </cell>
          <cell r="B13" t="str">
            <v>Bắc Kạn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</row>
        <row r="14">
          <cell r="A14" t="str">
            <v>08</v>
          </cell>
          <cell r="B14" t="str">
            <v>Tuyên Quang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>
            <v>122797</v>
          </cell>
          <cell r="R14">
            <v>689418</v>
          </cell>
        </row>
        <row r="15">
          <cell r="A15">
            <v>10</v>
          </cell>
          <cell r="B15" t="str">
            <v>Lào Cai</v>
          </cell>
          <cell r="C15">
            <v>159836</v>
          </cell>
          <cell r="D15">
            <v>536617</v>
          </cell>
          <cell r="E15">
            <v>161979</v>
          </cell>
          <cell r="F15">
            <v>546592</v>
          </cell>
          <cell r="G15">
            <v>167016</v>
          </cell>
          <cell r="H15">
            <v>553813</v>
          </cell>
          <cell r="I15">
            <v>171538</v>
          </cell>
          <cell r="J15">
            <v>561799</v>
          </cell>
          <cell r="K15">
            <v>197205</v>
          </cell>
          <cell r="L15">
            <v>549150</v>
          </cell>
          <cell r="M15">
            <v>201901</v>
          </cell>
          <cell r="N15">
            <v>559989</v>
          </cell>
          <cell r="O15">
            <v>206501</v>
          </cell>
          <cell r="P15">
            <v>564088</v>
          </cell>
          <cell r="Q15">
            <v>210974</v>
          </cell>
          <cell r="R15">
            <v>568946</v>
          </cell>
        </row>
        <row r="16">
          <cell r="A16">
            <v>11</v>
          </cell>
          <cell r="B16" t="str">
            <v>Điện Biên</v>
          </cell>
          <cell r="C16">
            <v>82294</v>
          </cell>
          <cell r="D16">
            <v>485973</v>
          </cell>
          <cell r="E16">
            <v>83667</v>
          </cell>
          <cell r="F16">
            <v>495720</v>
          </cell>
          <cell r="G16">
            <v>85069</v>
          </cell>
          <cell r="H16">
            <v>505449</v>
          </cell>
          <cell r="I16">
            <v>86555</v>
          </cell>
          <cell r="J16">
            <v>515104</v>
          </cell>
          <cell r="K16">
            <v>93171</v>
          </cell>
          <cell r="L16">
            <v>520309</v>
          </cell>
          <cell r="M16">
            <v>94997</v>
          </cell>
          <cell r="N16">
            <v>530092</v>
          </cell>
          <cell r="O16">
            <v>96668</v>
          </cell>
          <cell r="P16">
            <v>539253</v>
          </cell>
          <cell r="Q16">
            <v>98246</v>
          </cell>
          <cell r="R16">
            <v>547936</v>
          </cell>
        </row>
        <row r="17">
          <cell r="A17">
            <v>12</v>
          </cell>
          <cell r="B17" t="str">
            <v>Lai Châu</v>
          </cell>
          <cell r="C17">
            <v>63969</v>
          </cell>
          <cell r="D17">
            <v>372352</v>
          </cell>
          <cell r="E17">
            <v>65169</v>
          </cell>
          <cell r="F17">
            <v>379337</v>
          </cell>
          <cell r="G17">
            <v>66469</v>
          </cell>
          <cell r="H17">
            <v>386914</v>
          </cell>
          <cell r="I17">
            <v>67824</v>
          </cell>
          <cell r="J17">
            <v>394805</v>
          </cell>
          <cell r="K17">
            <v>82217</v>
          </cell>
          <cell r="L17">
            <v>387594</v>
          </cell>
          <cell r="M17">
            <v>84661</v>
          </cell>
          <cell r="N17">
            <v>393769</v>
          </cell>
          <cell r="O17">
            <v>85285</v>
          </cell>
          <cell r="P17">
            <v>396811</v>
          </cell>
          <cell r="Q17">
            <v>86471</v>
          </cell>
          <cell r="R17">
            <v>402811</v>
          </cell>
        </row>
        <row r="18">
          <cell r="A18">
            <v>14</v>
          </cell>
          <cell r="B18" t="str">
            <v>Sơn La</v>
          </cell>
          <cell r="C18">
            <v>165219</v>
          </cell>
          <cell r="D18">
            <v>1029718</v>
          </cell>
          <cell r="E18">
            <v>167866</v>
          </cell>
          <cell r="F18">
            <v>1045589</v>
          </cell>
          <cell r="G18">
            <v>170670</v>
          </cell>
          <cell r="H18">
            <v>1062404</v>
          </cell>
          <cell r="I18">
            <v>173501</v>
          </cell>
          <cell r="J18">
            <v>1079200</v>
          </cell>
          <cell r="K18">
            <v>176100</v>
          </cell>
          <cell r="L18">
            <v>1094457</v>
          </cell>
          <cell r="M18">
            <v>180066</v>
          </cell>
          <cell r="N18">
            <v>1107651</v>
          </cell>
          <cell r="O18">
            <v>181801</v>
          </cell>
          <cell r="P18">
            <v>1118324</v>
          </cell>
          <cell r="Q18">
            <v>185635</v>
          </cell>
          <cell r="R18">
            <v>1127704</v>
          </cell>
        </row>
        <row r="19">
          <cell r="A19">
            <v>15</v>
          </cell>
          <cell r="B19" t="str">
            <v>Yên Bái</v>
          </cell>
          <cell r="C19">
            <v>159255</v>
          </cell>
          <cell r="D19">
            <v>641066</v>
          </cell>
          <cell r="E19">
            <v>160484</v>
          </cell>
          <cell r="F19">
            <v>646803</v>
          </cell>
          <cell r="G19">
            <v>161857</v>
          </cell>
          <cell r="H19">
            <v>652722</v>
          </cell>
          <cell r="I19">
            <v>163260</v>
          </cell>
          <cell r="J19">
            <v>659774</v>
          </cell>
          <cell r="K19">
            <v>171588</v>
          </cell>
          <cell r="L19">
            <v>659998</v>
          </cell>
          <cell r="M19">
            <v>174729</v>
          </cell>
          <cell r="N19">
            <v>667942</v>
          </cell>
          <cell r="O19">
            <v>176649</v>
          </cell>
          <cell r="P19">
            <v>670596</v>
          </cell>
          <cell r="Q19">
            <v>179199</v>
          </cell>
          <cell r="R19">
            <v>676331</v>
          </cell>
        </row>
        <row r="20">
          <cell r="A20">
            <v>17</v>
          </cell>
          <cell r="B20" t="str">
            <v>Hoà Bình</v>
          </cell>
          <cell r="C20">
            <v>129827</v>
          </cell>
          <cell r="D20">
            <v>707136</v>
          </cell>
          <cell r="E20">
            <v>131720</v>
          </cell>
          <cell r="F20">
            <v>713227</v>
          </cell>
          <cell r="G20">
            <v>133234</v>
          </cell>
          <cell r="H20">
            <v>717179</v>
          </cell>
          <cell r="I20">
            <v>134749</v>
          </cell>
          <cell r="J20">
            <v>721055</v>
          </cell>
          <cell r="K20">
            <v>205407</v>
          </cell>
          <cell r="L20">
            <v>655809</v>
          </cell>
          <cell r="M20">
            <v>208785</v>
          </cell>
          <cell r="N20">
            <v>662938</v>
          </cell>
          <cell r="O20">
            <v>222629</v>
          </cell>
          <cell r="P20">
            <v>652750</v>
          </cell>
          <cell r="Q20">
            <v>226056</v>
          </cell>
          <cell r="R20">
            <v>654418</v>
          </cell>
        </row>
        <row r="21">
          <cell r="A21">
            <v>19</v>
          </cell>
          <cell r="B21" t="str">
            <v>Thái Nguyên</v>
          </cell>
          <cell r="C21">
            <v>392484</v>
          </cell>
          <cell r="D21">
            <v>850340</v>
          </cell>
          <cell r="E21">
            <v>399447</v>
          </cell>
          <cell r="F21">
            <v>856677</v>
          </cell>
          <cell r="G21">
            <v>405246</v>
          </cell>
          <cell r="H21">
            <v>868312</v>
          </cell>
          <cell r="I21">
            <v>413878</v>
          </cell>
          <cell r="J21">
            <v>877067</v>
          </cell>
          <cell r="K21">
            <v>419679</v>
          </cell>
          <cell r="L21">
            <v>888192</v>
          </cell>
          <cell r="M21">
            <v>425351</v>
          </cell>
          <cell r="N21">
            <v>897799</v>
          </cell>
          <cell r="O21">
            <v>525558</v>
          </cell>
          <cell r="P21">
            <v>810429</v>
          </cell>
          <cell r="Q21">
            <v>548860</v>
          </cell>
          <cell r="R21">
            <v>801485</v>
          </cell>
        </row>
        <row r="22">
          <cell r="A22">
            <v>20</v>
          </cell>
          <cell r="B22" t="str">
            <v>Lạng Sơn</v>
          </cell>
          <cell r="C22">
            <v>153284</v>
          </cell>
          <cell r="D22">
            <v>610112</v>
          </cell>
          <cell r="E22">
            <v>155364</v>
          </cell>
          <cell r="F22">
            <v>613334</v>
          </cell>
          <cell r="G22">
            <v>157845</v>
          </cell>
          <cell r="H22">
            <v>618021</v>
          </cell>
          <cell r="I22">
            <v>160307</v>
          </cell>
          <cell r="J22">
            <v>622504</v>
          </cell>
          <cell r="K22">
            <v>181715</v>
          </cell>
          <cell r="L22">
            <v>606991</v>
          </cell>
          <cell r="M22">
            <v>183888</v>
          </cell>
          <cell r="N22">
            <v>613051</v>
          </cell>
          <cell r="O22">
            <v>185870</v>
          </cell>
          <cell r="P22">
            <v>616220</v>
          </cell>
          <cell r="Q22">
            <v>187125</v>
          </cell>
          <cell r="R22">
            <v>620190</v>
          </cell>
        </row>
        <row r="23">
          <cell r="A23">
            <v>22</v>
          </cell>
          <cell r="B23" t="str">
            <v>Quảng Ninh</v>
          </cell>
          <cell r="C23">
            <v>761431</v>
          </cell>
          <cell r="D23">
            <v>499809</v>
          </cell>
          <cell r="E23">
            <v>792931</v>
          </cell>
          <cell r="F23">
            <v>492278</v>
          </cell>
          <cell r="G23">
            <v>822128</v>
          </cell>
          <cell r="H23">
            <v>481784</v>
          </cell>
          <cell r="I23">
            <v>853658</v>
          </cell>
          <cell r="J23">
            <v>471184</v>
          </cell>
          <cell r="K23">
            <v>861882</v>
          </cell>
          <cell r="L23">
            <v>475723</v>
          </cell>
          <cell r="M23">
            <v>916683</v>
          </cell>
          <cell r="N23">
            <v>434168</v>
          </cell>
          <cell r="O23">
            <v>916581</v>
          </cell>
          <cell r="P23">
            <v>446295</v>
          </cell>
          <cell r="Q23">
            <v>959405</v>
          </cell>
          <cell r="R23">
            <v>421762</v>
          </cell>
        </row>
        <row r="24">
          <cell r="A24">
            <v>24</v>
          </cell>
          <cell r="B24" t="str">
            <v>Bắc Giang</v>
          </cell>
          <cell r="C24">
            <v>193123</v>
          </cell>
          <cell r="D24">
            <v>1503780</v>
          </cell>
          <cell r="E24">
            <v>198225</v>
          </cell>
          <cell r="F24">
            <v>1538562</v>
          </cell>
          <cell r="G24">
            <v>202928</v>
          </cell>
          <cell r="H24">
            <v>1574578</v>
          </cell>
          <cell r="I24">
            <v>207370</v>
          </cell>
          <cell r="J24">
            <v>1603051</v>
          </cell>
          <cell r="K24">
            <v>333977</v>
          </cell>
          <cell r="L24">
            <v>1507647</v>
          </cell>
          <cell r="M24">
            <v>341660</v>
          </cell>
          <cell r="N24">
            <v>1533578</v>
          </cell>
          <cell r="O24">
            <v>370336</v>
          </cell>
          <cell r="P24">
            <v>1520589</v>
          </cell>
          <cell r="Q24">
            <v>379364</v>
          </cell>
          <cell r="R24">
            <v>1543375</v>
          </cell>
        </row>
        <row r="25">
          <cell r="A25">
            <v>25</v>
          </cell>
          <cell r="B25" t="str">
            <v>Phú Thọ</v>
          </cell>
          <cell r="C25">
            <v>258531</v>
          </cell>
          <cell r="D25">
            <v>1150477</v>
          </cell>
          <cell r="E25">
            <v>262042</v>
          </cell>
          <cell r="F25">
            <v>1168433</v>
          </cell>
          <cell r="G25">
            <v>265353</v>
          </cell>
          <cell r="H25">
            <v>1184232</v>
          </cell>
          <cell r="I25">
            <v>269360</v>
          </cell>
          <cell r="J25">
            <v>1197039</v>
          </cell>
          <cell r="K25">
            <v>281827</v>
          </cell>
          <cell r="L25">
            <v>1200057</v>
          </cell>
          <cell r="M25">
            <v>287956</v>
          </cell>
          <cell r="N25">
            <v>1219583</v>
          </cell>
          <cell r="O25">
            <v>293525</v>
          </cell>
          <cell r="P25">
            <v>1223396</v>
          </cell>
          <cell r="Q25">
            <v>297271</v>
          </cell>
          <cell r="R25">
            <v>1233575</v>
          </cell>
        </row>
        <row r="26">
          <cell r="A26">
            <v>26</v>
          </cell>
          <cell r="B26" t="str">
            <v>Vĩnh Phúc</v>
          </cell>
          <cell r="C26">
            <v>257890</v>
          </cell>
          <cell r="D26">
            <v>848251</v>
          </cell>
          <cell r="E26">
            <v>261692</v>
          </cell>
          <cell r="F26">
            <v>861448</v>
          </cell>
          <cell r="G26">
            <v>285162</v>
          </cell>
          <cell r="H26">
            <v>853208</v>
          </cell>
          <cell r="I26">
            <v>295200</v>
          </cell>
          <cell r="J26">
            <v>859636</v>
          </cell>
          <cell r="K26">
            <v>350981</v>
          </cell>
          <cell r="L26">
            <v>820251</v>
          </cell>
          <cell r="M26">
            <v>358330</v>
          </cell>
          <cell r="N26">
            <v>833451</v>
          </cell>
          <cell r="O26">
            <v>366181</v>
          </cell>
          <cell r="P26">
            <v>831436</v>
          </cell>
          <cell r="Q26">
            <v>410995</v>
          </cell>
          <cell r="R26">
            <v>800351</v>
          </cell>
        </row>
        <row r="27">
          <cell r="A27">
            <v>27</v>
          </cell>
          <cell r="B27" t="str">
            <v>Bắc Ninh</v>
          </cell>
          <cell r="C27">
            <v>345465</v>
          </cell>
          <cell r="D27">
            <v>912379</v>
          </cell>
          <cell r="E27">
            <v>355272</v>
          </cell>
          <cell r="F27">
            <v>942490</v>
          </cell>
          <cell r="G27">
            <v>365599</v>
          </cell>
          <cell r="H27">
            <v>971746</v>
          </cell>
          <cell r="I27">
            <v>380875</v>
          </cell>
          <cell r="J27">
            <v>997717</v>
          </cell>
          <cell r="K27">
            <v>446571</v>
          </cell>
          <cell r="L27">
            <v>972555</v>
          </cell>
          <cell r="M27">
            <v>536149</v>
          </cell>
          <cell r="N27">
            <v>926796</v>
          </cell>
          <cell r="O27">
            <v>554574</v>
          </cell>
          <cell r="P27">
            <v>933676</v>
          </cell>
          <cell r="Q27">
            <v>770712</v>
          </cell>
          <cell r="R27">
            <v>746729</v>
          </cell>
        </row>
        <row r="28">
          <cell r="A28">
            <v>30</v>
          </cell>
          <cell r="B28" t="str">
            <v>Hải Dương</v>
          </cell>
          <cell r="C28">
            <v>426631</v>
          </cell>
          <cell r="D28">
            <v>1406181</v>
          </cell>
          <cell r="E28">
            <v>443555</v>
          </cell>
          <cell r="F28">
            <v>1407032</v>
          </cell>
          <cell r="G28">
            <v>463408</v>
          </cell>
          <cell r="H28">
            <v>1414274</v>
          </cell>
          <cell r="I28">
            <v>594200</v>
          </cell>
          <cell r="J28">
            <v>1302711</v>
          </cell>
          <cell r="K28">
            <v>603239</v>
          </cell>
          <cell r="L28">
            <v>1313535</v>
          </cell>
          <cell r="M28">
            <v>613180</v>
          </cell>
          <cell r="N28">
            <v>1323595</v>
          </cell>
          <cell r="O28">
            <v>618115</v>
          </cell>
          <cell r="P28">
            <v>1328705</v>
          </cell>
          <cell r="Q28">
            <v>620022</v>
          </cell>
          <cell r="R28">
            <v>1336866</v>
          </cell>
        </row>
        <row r="29">
          <cell r="A29">
            <v>31</v>
          </cell>
          <cell r="B29" t="str">
            <v>Hải Phòng</v>
          </cell>
          <cell r="C29">
            <v>908110</v>
          </cell>
          <cell r="D29">
            <v>1077204</v>
          </cell>
          <cell r="E29">
            <v>914437</v>
          </cell>
          <cell r="F29">
            <v>1086962</v>
          </cell>
          <cell r="G29">
            <v>920263</v>
          </cell>
          <cell r="H29">
            <v>1096157</v>
          </cell>
          <cell r="I29">
            <v>926899</v>
          </cell>
          <cell r="J29">
            <v>1106400</v>
          </cell>
          <cell r="K29">
            <v>932547</v>
          </cell>
          <cell r="L29">
            <v>1120945</v>
          </cell>
          <cell r="M29">
            <v>943201</v>
          </cell>
          <cell r="N29">
            <v>1129187</v>
          </cell>
          <cell r="O29">
            <v>951769</v>
          </cell>
          <cell r="P29">
            <v>1136253</v>
          </cell>
          <cell r="Q29">
            <v>960640</v>
          </cell>
          <cell r="R29">
            <v>1144386</v>
          </cell>
        </row>
        <row r="30">
          <cell r="A30">
            <v>33</v>
          </cell>
          <cell r="B30" t="str">
            <v>Hưng Yên</v>
          </cell>
          <cell r="C30">
            <v>147901</v>
          </cell>
          <cell r="D30">
            <v>1067602</v>
          </cell>
          <cell r="E30">
            <v>149535</v>
          </cell>
          <cell r="F30">
            <v>1079288</v>
          </cell>
          <cell r="G30">
            <v>151530</v>
          </cell>
          <cell r="H30">
            <v>1090865</v>
          </cell>
          <cell r="I30">
            <v>207328</v>
          </cell>
          <cell r="J30">
            <v>1048511</v>
          </cell>
          <cell r="K30">
            <v>209726</v>
          </cell>
          <cell r="L30">
            <v>1059364</v>
          </cell>
          <cell r="M30">
            <v>213566</v>
          </cell>
          <cell r="N30">
            <v>1070986</v>
          </cell>
          <cell r="O30">
            <v>217434</v>
          </cell>
          <cell r="P30">
            <v>1073418</v>
          </cell>
          <cell r="Q30">
            <v>220983</v>
          </cell>
          <cell r="R30">
            <v>1080030</v>
          </cell>
        </row>
        <row r="31">
          <cell r="A31">
            <v>34</v>
          </cell>
          <cell r="B31" t="str">
            <v>Thái Bình</v>
          </cell>
          <cell r="C31">
            <v>189590</v>
          </cell>
          <cell r="D31">
            <v>1648520</v>
          </cell>
          <cell r="E31">
            <v>192043</v>
          </cell>
          <cell r="F31">
            <v>1654058</v>
          </cell>
          <cell r="G31">
            <v>194528</v>
          </cell>
          <cell r="H31">
            <v>1659600</v>
          </cell>
          <cell r="I31">
            <v>197045</v>
          </cell>
          <cell r="J31">
            <v>1665200</v>
          </cell>
          <cell r="K31">
            <v>219458</v>
          </cell>
          <cell r="L31">
            <v>1650782</v>
          </cell>
          <cell r="M31">
            <v>221580</v>
          </cell>
          <cell r="N31">
            <v>1654083</v>
          </cell>
          <cell r="O31">
            <v>220956</v>
          </cell>
          <cell r="P31">
            <v>1657582</v>
          </cell>
          <cell r="Q31">
            <v>221739</v>
          </cell>
          <cell r="R31">
            <v>1660596</v>
          </cell>
        </row>
        <row r="32">
          <cell r="A32">
            <v>35</v>
          </cell>
          <cell r="B32" t="str">
            <v>Hà Nam</v>
          </cell>
          <cell r="C32">
            <v>135630</v>
          </cell>
          <cell r="D32">
            <v>696587</v>
          </cell>
          <cell r="E32">
            <v>138210</v>
          </cell>
          <cell r="F32">
            <v>701500</v>
          </cell>
          <cell r="G32">
            <v>140760</v>
          </cell>
          <cell r="H32">
            <v>706377</v>
          </cell>
          <cell r="I32">
            <v>143290</v>
          </cell>
          <cell r="J32">
            <v>711179</v>
          </cell>
          <cell r="K32">
            <v>239682</v>
          </cell>
          <cell r="L32">
            <v>622150</v>
          </cell>
          <cell r="M32">
            <v>244905</v>
          </cell>
          <cell r="N32">
            <v>630311</v>
          </cell>
          <cell r="O32">
            <v>245957</v>
          </cell>
          <cell r="P32">
            <v>632095</v>
          </cell>
          <cell r="Q32">
            <v>249823</v>
          </cell>
          <cell r="R32">
            <v>636091</v>
          </cell>
        </row>
        <row r="33">
          <cell r="A33">
            <v>36</v>
          </cell>
          <cell r="B33" t="str">
            <v>Nam Định</v>
          </cell>
          <cell r="C33">
            <v>317009</v>
          </cell>
          <cell r="D33">
            <v>1475443</v>
          </cell>
          <cell r="E33">
            <v>316536</v>
          </cell>
          <cell r="F33">
            <v>1471689</v>
          </cell>
          <cell r="G33">
            <v>324100</v>
          </cell>
          <cell r="H33">
            <v>1460159</v>
          </cell>
          <cell r="I33">
            <v>323741</v>
          </cell>
          <cell r="J33">
            <v>1457124</v>
          </cell>
          <cell r="K33">
            <v>360119</v>
          </cell>
          <cell r="L33">
            <v>1420214</v>
          </cell>
          <cell r="M33">
            <v>371572</v>
          </cell>
          <cell r="N33">
            <v>1464696</v>
          </cell>
          <cell r="O33">
            <v>380460</v>
          </cell>
          <cell r="P33">
            <v>1496394</v>
          </cell>
          <cell r="Q33">
            <v>385408</v>
          </cell>
          <cell r="R33">
            <v>1501692</v>
          </cell>
        </row>
        <row r="34">
          <cell r="A34">
            <v>37</v>
          </cell>
          <cell r="B34" t="str">
            <v>Ninh Bình</v>
          </cell>
          <cell r="C34">
            <v>188990</v>
          </cell>
          <cell r="D34">
            <v>767819</v>
          </cell>
          <cell r="E34">
            <v>195056</v>
          </cell>
          <cell r="F34">
            <v>770373</v>
          </cell>
          <cell r="G34">
            <v>201222</v>
          </cell>
          <cell r="H34">
            <v>773444</v>
          </cell>
          <cell r="I34">
            <v>207790</v>
          </cell>
          <cell r="J34">
            <v>776737</v>
          </cell>
          <cell r="K34">
            <v>212588</v>
          </cell>
          <cell r="L34">
            <v>781331</v>
          </cell>
          <cell r="M34">
            <v>216517</v>
          </cell>
          <cell r="N34">
            <v>791053</v>
          </cell>
          <cell r="O34">
            <v>218432</v>
          </cell>
          <cell r="P34">
            <v>792319</v>
          </cell>
          <cell r="Q34">
            <v>220577</v>
          </cell>
          <cell r="R34">
            <v>796527</v>
          </cell>
        </row>
        <row r="35">
          <cell r="A35">
            <v>38</v>
          </cell>
          <cell r="B35" t="str">
            <v>Thanh Hoá</v>
          </cell>
          <cell r="C35">
            <v>478566</v>
          </cell>
          <cell r="D35">
            <v>3092266</v>
          </cell>
          <cell r="E35">
            <v>500837</v>
          </cell>
          <cell r="F35">
            <v>3102862</v>
          </cell>
          <cell r="G35">
            <v>523797</v>
          </cell>
          <cell r="H35">
            <v>3107482</v>
          </cell>
          <cell r="I35">
            <v>547159</v>
          </cell>
          <cell r="J35">
            <v>3098637</v>
          </cell>
          <cell r="K35">
            <v>853280</v>
          </cell>
          <cell r="L35">
            <v>2811665</v>
          </cell>
          <cell r="M35">
            <v>993390</v>
          </cell>
          <cell r="N35">
            <v>2723038</v>
          </cell>
          <cell r="O35">
            <v>1029895</v>
          </cell>
          <cell r="P35">
            <v>2692164</v>
          </cell>
          <cell r="Q35">
            <v>1036134</v>
          </cell>
          <cell r="R35">
            <v>2703346</v>
          </cell>
        </row>
        <row r="36">
          <cell r="A36">
            <v>40</v>
          </cell>
          <cell r="B36" t="str">
            <v>Nghệ An</v>
          </cell>
          <cell r="C36">
            <v>471843</v>
          </cell>
          <cell r="D36">
            <v>2731269</v>
          </cell>
          <cell r="E36">
            <v>478388</v>
          </cell>
          <cell r="F36">
            <v>2768303</v>
          </cell>
          <cell r="G36">
            <v>483880</v>
          </cell>
          <cell r="H36">
            <v>2807489</v>
          </cell>
          <cell r="I36">
            <v>490499</v>
          </cell>
          <cell r="J36">
            <v>2846708</v>
          </cell>
          <cell r="K36">
            <v>521606</v>
          </cell>
          <cell r="L36">
            <v>2843592</v>
          </cell>
          <cell r="M36">
            <v>529482</v>
          </cell>
          <cell r="N36">
            <v>2880330</v>
          </cell>
          <cell r="O36">
            <v>530452</v>
          </cell>
          <cell r="P36">
            <v>2889537</v>
          </cell>
          <cell r="Q36">
            <v>540045</v>
          </cell>
          <cell r="R36">
            <v>2901926</v>
          </cell>
        </row>
        <row r="37">
          <cell r="A37">
            <v>42</v>
          </cell>
          <cell r="B37" t="str">
            <v>Hà Tĩnh</v>
          </cell>
          <cell r="C37">
            <v>229487</v>
          </cell>
          <cell r="D37">
            <v>1037236</v>
          </cell>
          <cell r="E37">
            <v>237288</v>
          </cell>
          <cell r="F37">
            <v>1036951</v>
          </cell>
          <cell r="G37">
            <v>245108</v>
          </cell>
          <cell r="H37">
            <v>1035405</v>
          </cell>
          <cell r="I37">
            <v>253864</v>
          </cell>
          <cell r="J37">
            <v>1036399</v>
          </cell>
          <cell r="K37">
            <v>287766</v>
          </cell>
          <cell r="L37">
            <v>1008856</v>
          </cell>
          <cell r="M37">
            <v>293012</v>
          </cell>
          <cell r="N37">
            <v>1021044</v>
          </cell>
          <cell r="O37">
            <v>298048</v>
          </cell>
          <cell r="P37">
            <v>1025697</v>
          </cell>
          <cell r="Q37">
            <v>298048</v>
          </cell>
          <cell r="R37">
            <v>1025697</v>
          </cell>
        </row>
        <row r="38">
          <cell r="A38">
            <v>44</v>
          </cell>
          <cell r="B38" t="str">
            <v>Quảng Bình</v>
          </cell>
          <cell r="C38">
            <v>179652</v>
          </cell>
          <cell r="D38">
            <v>700987</v>
          </cell>
          <cell r="E38">
            <v>182298</v>
          </cell>
          <cell r="F38">
            <v>703427</v>
          </cell>
          <cell r="G38">
            <v>185164</v>
          </cell>
          <cell r="H38">
            <v>705974</v>
          </cell>
          <cell r="I38">
            <v>188188</v>
          </cell>
          <cell r="J38">
            <v>708413</v>
          </cell>
          <cell r="K38">
            <v>207110</v>
          </cell>
          <cell r="L38">
            <v>694874</v>
          </cell>
          <cell r="M38">
            <v>210065</v>
          </cell>
          <cell r="N38">
            <v>700590</v>
          </cell>
          <cell r="O38">
            <v>211701</v>
          </cell>
          <cell r="P38">
            <v>702161</v>
          </cell>
          <cell r="Q38">
            <v>214872</v>
          </cell>
          <cell r="R38">
            <v>703793</v>
          </cell>
        </row>
        <row r="39">
          <cell r="A39">
            <v>45</v>
          </cell>
          <cell r="B39" t="str">
            <v>Quảng Trị</v>
          </cell>
          <cell r="C39">
            <v>186905</v>
          </cell>
          <cell r="D39">
            <v>434693</v>
          </cell>
          <cell r="E39">
            <v>189964</v>
          </cell>
          <cell r="F39">
            <v>435408</v>
          </cell>
          <cell r="G39">
            <v>193247</v>
          </cell>
          <cell r="H39">
            <v>436487</v>
          </cell>
          <cell r="I39">
            <v>196372</v>
          </cell>
          <cell r="J39">
            <v>437068</v>
          </cell>
          <cell r="K39">
            <v>206863</v>
          </cell>
          <cell r="L39">
            <v>430523</v>
          </cell>
          <cell r="M39">
            <v>210960</v>
          </cell>
          <cell r="N39">
            <v>436830</v>
          </cell>
          <cell r="O39">
            <v>212586</v>
          </cell>
          <cell r="P39">
            <v>438360</v>
          </cell>
          <cell r="Q39">
            <v>214252</v>
          </cell>
          <cell r="R39">
            <v>439945</v>
          </cell>
        </row>
        <row r="40">
          <cell r="A40">
            <v>46</v>
          </cell>
          <cell r="B40" t="str">
            <v>Thừa Thiên Huế</v>
          </cell>
          <cell r="C40">
            <v>543900</v>
          </cell>
          <cell r="D40">
            <v>574085</v>
          </cell>
          <cell r="E40">
            <v>548311</v>
          </cell>
          <cell r="F40">
            <v>575046</v>
          </cell>
          <cell r="G40">
            <v>548100</v>
          </cell>
          <cell r="H40">
            <v>577362</v>
          </cell>
          <cell r="I40">
            <v>563397</v>
          </cell>
          <cell r="J40">
            <v>566108</v>
          </cell>
          <cell r="K40">
            <v>562321</v>
          </cell>
          <cell r="L40">
            <v>571271</v>
          </cell>
          <cell r="M40">
            <v>609377</v>
          </cell>
          <cell r="N40">
            <v>544418</v>
          </cell>
          <cell r="O40">
            <v>612828</v>
          </cell>
          <cell r="P40">
            <v>547396</v>
          </cell>
          <cell r="Q40">
            <v>616235</v>
          </cell>
          <cell r="R40">
            <v>550312</v>
          </cell>
        </row>
        <row r="41">
          <cell r="A41">
            <v>48</v>
          </cell>
          <cell r="B41" t="str">
            <v>Đà Nẵng</v>
          </cell>
          <cell r="C41">
            <v>940585</v>
          </cell>
          <cell r="D41">
            <v>139701</v>
          </cell>
          <cell r="E41">
            <v>956140</v>
          </cell>
          <cell r="F41">
            <v>141635</v>
          </cell>
          <cell r="G41">
            <v>970924</v>
          </cell>
          <cell r="H41">
            <v>143400</v>
          </cell>
          <cell r="I41">
            <v>994581</v>
          </cell>
          <cell r="J41">
            <v>146544</v>
          </cell>
          <cell r="K41">
            <v>1020440</v>
          </cell>
          <cell r="L41">
            <v>149040</v>
          </cell>
          <cell r="M41">
            <v>1044329</v>
          </cell>
          <cell r="N41">
            <v>151159</v>
          </cell>
          <cell r="O41">
            <v>1067068</v>
          </cell>
          <cell r="P41">
            <v>153119</v>
          </cell>
          <cell r="Q41">
            <v>1091338</v>
          </cell>
          <cell r="R41">
            <v>153876</v>
          </cell>
        </row>
        <row r="42">
          <cell r="A42">
            <v>49</v>
          </cell>
          <cell r="B42" t="str">
            <v>Quảng Nam</v>
          </cell>
          <cell r="C42">
            <v>363917</v>
          </cell>
          <cell r="D42">
            <v>1111833</v>
          </cell>
          <cell r="E42">
            <v>368387</v>
          </cell>
          <cell r="F42">
            <v>1114901</v>
          </cell>
          <cell r="G42">
            <v>373063</v>
          </cell>
          <cell r="H42">
            <v>1117701</v>
          </cell>
          <cell r="I42">
            <v>379635</v>
          </cell>
          <cell r="J42">
            <v>1117844</v>
          </cell>
          <cell r="K42">
            <v>396203</v>
          </cell>
          <cell r="L42">
            <v>1108839</v>
          </cell>
          <cell r="M42">
            <v>401258</v>
          </cell>
          <cell r="N42">
            <v>1117219</v>
          </cell>
          <cell r="O42">
            <v>407391</v>
          </cell>
          <cell r="P42">
            <v>1111990</v>
          </cell>
          <cell r="Q42">
            <v>469139</v>
          </cell>
          <cell r="R42">
            <v>1056916</v>
          </cell>
        </row>
        <row r="43">
          <cell r="A43">
            <v>51</v>
          </cell>
          <cell r="B43" t="str">
            <v>Quảng Ngãi</v>
          </cell>
          <cell r="C43">
            <v>194154</v>
          </cell>
          <cell r="D43">
            <v>1033309</v>
          </cell>
          <cell r="E43">
            <v>196577</v>
          </cell>
          <cell r="F43">
            <v>1032361</v>
          </cell>
          <cell r="G43">
            <v>199055</v>
          </cell>
          <cell r="H43">
            <v>1031509</v>
          </cell>
          <cell r="I43">
            <v>201515</v>
          </cell>
          <cell r="J43">
            <v>1030378</v>
          </cell>
          <cell r="K43">
            <v>260182</v>
          </cell>
          <cell r="L43">
            <v>973214</v>
          </cell>
          <cell r="M43">
            <v>262656</v>
          </cell>
          <cell r="N43">
            <v>981475</v>
          </cell>
          <cell r="O43">
            <v>272222</v>
          </cell>
          <cell r="P43">
            <v>973427</v>
          </cell>
          <cell r="Q43">
            <v>272955</v>
          </cell>
          <cell r="R43">
            <v>975156</v>
          </cell>
        </row>
        <row r="44">
          <cell r="A44">
            <v>52</v>
          </cell>
          <cell r="B44" t="str">
            <v>Bình Định</v>
          </cell>
          <cell r="C44">
            <v>472881</v>
          </cell>
          <cell r="D44">
            <v>1014803</v>
          </cell>
          <cell r="E44">
            <v>474189</v>
          </cell>
          <cell r="F44">
            <v>1013530</v>
          </cell>
          <cell r="G44">
            <v>475534</v>
          </cell>
          <cell r="H44">
            <v>1012237</v>
          </cell>
          <cell r="I44">
            <v>476845</v>
          </cell>
          <cell r="J44">
            <v>1010972</v>
          </cell>
          <cell r="K44">
            <v>599852</v>
          </cell>
          <cell r="L44">
            <v>888051</v>
          </cell>
          <cell r="M44">
            <v>620809</v>
          </cell>
          <cell r="N44">
            <v>887513</v>
          </cell>
          <cell r="O44">
            <v>619645</v>
          </cell>
          <cell r="P44">
            <v>884640</v>
          </cell>
          <cell r="Q44">
            <v>620875</v>
          </cell>
          <cell r="R44">
            <v>885456</v>
          </cell>
        </row>
        <row r="45">
          <cell r="A45">
            <v>54</v>
          </cell>
          <cell r="B45" t="str">
            <v>Phú Yên</v>
          </cell>
          <cell r="C45">
            <v>249290</v>
          </cell>
          <cell r="D45">
            <v>618859</v>
          </cell>
          <cell r="E45">
            <v>249886</v>
          </cell>
          <cell r="F45">
            <v>620162</v>
          </cell>
          <cell r="G45">
            <v>250491</v>
          </cell>
          <cell r="H45">
            <v>621004</v>
          </cell>
          <cell r="I45">
            <v>250970</v>
          </cell>
          <cell r="J45">
            <v>622194</v>
          </cell>
          <cell r="K45">
            <v>285903</v>
          </cell>
          <cell r="L45">
            <v>588392</v>
          </cell>
          <cell r="M45">
            <v>286324</v>
          </cell>
          <cell r="N45">
            <v>589211</v>
          </cell>
          <cell r="O45">
            <v>286676</v>
          </cell>
          <cell r="P45">
            <v>589943</v>
          </cell>
          <cell r="Q45">
            <v>287053</v>
          </cell>
          <cell r="R45">
            <v>590651</v>
          </cell>
        </row>
        <row r="46">
          <cell r="A46">
            <v>56</v>
          </cell>
          <cell r="B46" t="str">
            <v>Khánh Hoà</v>
          </cell>
          <cell r="C46">
            <v>501464</v>
          </cell>
          <cell r="D46">
            <v>705699</v>
          </cell>
          <cell r="E46">
            <v>508158</v>
          </cell>
          <cell r="F46">
            <v>708131</v>
          </cell>
          <cell r="G46">
            <v>514696</v>
          </cell>
          <cell r="H46">
            <v>709789</v>
          </cell>
          <cell r="I46">
            <v>521300</v>
          </cell>
          <cell r="J46">
            <v>711469</v>
          </cell>
          <cell r="K46">
            <v>525873</v>
          </cell>
          <cell r="L46">
            <v>714563</v>
          </cell>
          <cell r="M46">
            <v>528743</v>
          </cell>
          <cell r="N46">
            <v>719319</v>
          </cell>
          <cell r="O46">
            <v>531192</v>
          </cell>
          <cell r="P46">
            <v>722777</v>
          </cell>
          <cell r="Q46">
            <v>534360</v>
          </cell>
          <cell r="R46">
            <v>726263</v>
          </cell>
        </row>
        <row r="47">
          <cell r="A47">
            <v>58</v>
          </cell>
          <cell r="B47" t="str">
            <v>Ninh Thuận</v>
          </cell>
          <cell r="C47">
            <v>208452</v>
          </cell>
          <cell r="D47">
            <v>373045</v>
          </cell>
          <cell r="E47">
            <v>209600</v>
          </cell>
          <cell r="F47">
            <v>375716</v>
          </cell>
          <cell r="G47">
            <v>210722</v>
          </cell>
          <cell r="H47">
            <v>378138</v>
          </cell>
          <cell r="I47">
            <v>211314</v>
          </cell>
          <cell r="J47">
            <v>379718</v>
          </cell>
          <cell r="K47">
            <v>209598</v>
          </cell>
          <cell r="L47">
            <v>384046</v>
          </cell>
          <cell r="M47">
            <v>211043</v>
          </cell>
          <cell r="N47">
            <v>385006</v>
          </cell>
          <cell r="O47">
            <v>212259</v>
          </cell>
          <cell r="P47">
            <v>386424</v>
          </cell>
          <cell r="Q47">
            <v>213432</v>
          </cell>
          <cell r="R47">
            <v>387785</v>
          </cell>
        </row>
        <row r="48">
          <cell r="A48">
            <v>60</v>
          </cell>
          <cell r="B48" t="str">
            <v>Bình Thuận</v>
          </cell>
          <cell r="C48">
            <v>466500</v>
          </cell>
          <cell r="D48">
            <v>747062</v>
          </cell>
          <cell r="E48">
            <v>467693</v>
          </cell>
          <cell r="F48">
            <v>752774</v>
          </cell>
          <cell r="G48">
            <v>468833</v>
          </cell>
          <cell r="H48">
            <v>758436</v>
          </cell>
          <cell r="I48">
            <v>469276</v>
          </cell>
          <cell r="J48">
            <v>762991</v>
          </cell>
          <cell r="K48">
            <v>472138</v>
          </cell>
          <cell r="L48">
            <v>767118</v>
          </cell>
          <cell r="M48">
            <v>479845</v>
          </cell>
          <cell r="N48">
            <v>766461</v>
          </cell>
          <cell r="O48">
            <v>483265</v>
          </cell>
          <cell r="P48">
            <v>768791</v>
          </cell>
          <cell r="Q48">
            <v>485881</v>
          </cell>
          <cell r="R48">
            <v>772907</v>
          </cell>
        </row>
        <row r="49">
          <cell r="A49">
            <v>62</v>
          </cell>
          <cell r="B49" t="str">
            <v>Kon Tum</v>
          </cell>
          <cell r="C49">
            <v>164664</v>
          </cell>
          <cell r="D49">
            <v>343154</v>
          </cell>
          <cell r="E49">
            <v>167835</v>
          </cell>
          <cell r="F49">
            <v>352213</v>
          </cell>
          <cell r="G49">
            <v>170998</v>
          </cell>
          <cell r="H49">
            <v>361360</v>
          </cell>
          <cell r="I49">
            <v>173739</v>
          </cell>
          <cell r="J49">
            <v>369713</v>
          </cell>
          <cell r="K49">
            <v>181937</v>
          </cell>
          <cell r="L49">
            <v>373708</v>
          </cell>
          <cell r="M49">
            <v>185276</v>
          </cell>
          <cell r="N49">
            <v>383504</v>
          </cell>
          <cell r="O49">
            <v>188507</v>
          </cell>
          <cell r="P49">
            <v>391407</v>
          </cell>
          <cell r="Q49">
            <v>191802</v>
          </cell>
          <cell r="R49">
            <v>399464</v>
          </cell>
        </row>
        <row r="50">
          <cell r="A50">
            <v>64</v>
          </cell>
          <cell r="B50" t="str">
            <v>Gia Lai</v>
          </cell>
          <cell r="C50">
            <v>417384</v>
          </cell>
          <cell r="D50">
            <v>1029749</v>
          </cell>
          <cell r="E50">
            <v>424252</v>
          </cell>
          <cell r="F50">
            <v>1044682</v>
          </cell>
          <cell r="G50">
            <v>432558</v>
          </cell>
          <cell r="H50">
            <v>1063085</v>
          </cell>
          <cell r="I50">
            <v>440300</v>
          </cell>
          <cell r="J50">
            <v>1079906</v>
          </cell>
          <cell r="K50">
            <v>447210</v>
          </cell>
          <cell r="L50">
            <v>1094620</v>
          </cell>
          <cell r="M50">
            <v>458938</v>
          </cell>
          <cell r="N50">
            <v>1110783</v>
          </cell>
          <cell r="O50">
            <v>466731</v>
          </cell>
          <cell r="P50">
            <v>1124250</v>
          </cell>
          <cell r="Q50">
            <v>475131</v>
          </cell>
          <cell r="R50">
            <v>1138764</v>
          </cell>
        </row>
        <row r="51">
          <cell r="A51">
            <v>66</v>
          </cell>
          <cell r="B51" t="str">
            <v>Đắk Lắk</v>
          </cell>
          <cell r="C51">
            <v>450138</v>
          </cell>
          <cell r="D51">
            <v>1386252</v>
          </cell>
          <cell r="E51">
            <v>454900</v>
          </cell>
          <cell r="F51">
            <v>1395363</v>
          </cell>
          <cell r="G51">
            <v>459118</v>
          </cell>
          <cell r="H51">
            <v>1402400</v>
          </cell>
          <cell r="I51">
            <v>463270</v>
          </cell>
          <cell r="J51">
            <v>1409304</v>
          </cell>
          <cell r="K51">
            <v>466479</v>
          </cell>
          <cell r="L51">
            <v>1420458</v>
          </cell>
          <cell r="M51">
            <v>473814</v>
          </cell>
          <cell r="N51">
            <v>1435186</v>
          </cell>
          <cell r="O51">
            <v>478317</v>
          </cell>
          <cell r="P51">
            <v>1440123</v>
          </cell>
          <cell r="Q51">
            <v>502396</v>
          </cell>
          <cell r="R51">
            <v>1429100</v>
          </cell>
        </row>
        <row r="52">
          <cell r="A52">
            <v>67</v>
          </cell>
          <cell r="B52" t="str">
            <v>Đắk Nông</v>
          </cell>
          <cell r="C52">
            <v>89528</v>
          </cell>
          <cell r="D52">
            <v>504903</v>
          </cell>
          <cell r="E52">
            <v>91593</v>
          </cell>
          <cell r="F52">
            <v>513299</v>
          </cell>
          <cell r="G52">
            <v>93693</v>
          </cell>
          <cell r="H52">
            <v>521727</v>
          </cell>
          <cell r="I52">
            <v>95404</v>
          </cell>
          <cell r="J52">
            <v>530418</v>
          </cell>
          <cell r="K52">
            <v>97490</v>
          </cell>
          <cell r="L52">
            <v>540417</v>
          </cell>
          <cell r="M52">
            <v>107977</v>
          </cell>
          <cell r="N52">
            <v>556439</v>
          </cell>
          <cell r="O52">
            <v>112431</v>
          </cell>
          <cell r="P52">
            <v>558127</v>
          </cell>
          <cell r="Q52">
            <v>115521</v>
          </cell>
          <cell r="R52">
            <v>566428</v>
          </cell>
        </row>
        <row r="53">
          <cell r="A53">
            <v>68</v>
          </cell>
          <cell r="B53" t="str">
            <v>Lâm Đồng</v>
          </cell>
          <cell r="C53">
            <v>495431</v>
          </cell>
          <cell r="D53">
            <v>775884</v>
          </cell>
          <cell r="E53">
            <v>499594</v>
          </cell>
          <cell r="F53">
            <v>781745</v>
          </cell>
          <cell r="G53">
            <v>504600</v>
          </cell>
          <cell r="H53">
            <v>786791</v>
          </cell>
          <cell r="I53">
            <v>509043</v>
          </cell>
          <cell r="J53">
            <v>790292</v>
          </cell>
          <cell r="K53">
            <v>514206</v>
          </cell>
          <cell r="L53">
            <v>795587</v>
          </cell>
          <cell r="M53">
            <v>519095</v>
          </cell>
          <cell r="N53">
            <v>802744</v>
          </cell>
          <cell r="O53">
            <v>523552</v>
          </cell>
          <cell r="P53">
            <v>808980</v>
          </cell>
          <cell r="Q53">
            <v>529718</v>
          </cell>
          <cell r="R53">
            <v>815279</v>
          </cell>
        </row>
        <row r="54">
          <cell r="A54">
            <v>70</v>
          </cell>
          <cell r="B54" t="str">
            <v>Bình Phước</v>
          </cell>
          <cell r="C54">
            <v>206973</v>
          </cell>
          <cell r="D54">
            <v>755702</v>
          </cell>
          <cell r="E54">
            <v>216641</v>
          </cell>
          <cell r="F54">
            <v>755900</v>
          </cell>
          <cell r="G54">
            <v>227282</v>
          </cell>
          <cell r="H54">
            <v>757628</v>
          </cell>
          <cell r="I54">
            <v>238541</v>
          </cell>
          <cell r="J54">
            <v>759225</v>
          </cell>
          <cell r="K54">
            <v>243049</v>
          </cell>
          <cell r="L54">
            <v>768026</v>
          </cell>
          <cell r="M54">
            <v>247537</v>
          </cell>
          <cell r="N54">
            <v>776748</v>
          </cell>
          <cell r="O54">
            <v>303960</v>
          </cell>
          <cell r="P54">
            <v>730707</v>
          </cell>
          <cell r="Q54">
            <v>307375</v>
          </cell>
          <cell r="R54">
            <v>738115</v>
          </cell>
        </row>
        <row r="55">
          <cell r="A55">
            <v>72</v>
          </cell>
          <cell r="B55" t="str">
            <v>Tây Ninh</v>
          </cell>
          <cell r="C55">
            <v>207181</v>
          </cell>
          <cell r="D55">
            <v>932473</v>
          </cell>
          <cell r="E55">
            <v>207499</v>
          </cell>
          <cell r="F55">
            <v>943575</v>
          </cell>
          <cell r="G55">
            <v>207817</v>
          </cell>
          <cell r="H55">
            <v>952864</v>
          </cell>
          <cell r="I55">
            <v>208300</v>
          </cell>
          <cell r="J55">
            <v>963383</v>
          </cell>
          <cell r="K55">
            <v>381106</v>
          </cell>
          <cell r="L55">
            <v>797223</v>
          </cell>
          <cell r="M55">
            <v>382641</v>
          </cell>
          <cell r="N55">
            <v>799266</v>
          </cell>
          <cell r="O55">
            <v>386726</v>
          </cell>
          <cell r="P55">
            <v>802032</v>
          </cell>
          <cell r="Q55">
            <v>389169</v>
          </cell>
          <cell r="R55">
            <v>805736</v>
          </cell>
        </row>
        <row r="56">
          <cell r="A56">
            <v>74</v>
          </cell>
          <cell r="B56" t="str">
            <v>Bình Dương</v>
          </cell>
          <cell r="C56">
            <v>1632323</v>
          </cell>
          <cell r="D56">
            <v>506465</v>
          </cell>
          <cell r="E56">
            <v>1696869</v>
          </cell>
          <cell r="F56">
            <v>530285</v>
          </cell>
          <cell r="G56">
            <v>1875678</v>
          </cell>
          <cell r="H56">
            <v>469506</v>
          </cell>
          <cell r="I56">
            <v>1961862</v>
          </cell>
          <cell r="J56">
            <v>494457</v>
          </cell>
          <cell r="K56">
            <v>2178173</v>
          </cell>
          <cell r="L56">
            <v>402377</v>
          </cell>
          <cell r="M56">
            <v>2189680</v>
          </cell>
          <cell r="N56">
            <v>407105</v>
          </cell>
          <cell r="O56">
            <v>2327427</v>
          </cell>
          <cell r="P56">
            <v>435697</v>
          </cell>
          <cell r="Q56">
            <v>2377777</v>
          </cell>
          <cell r="R56">
            <v>445600</v>
          </cell>
        </row>
        <row r="57">
          <cell r="A57">
            <v>75</v>
          </cell>
          <cell r="B57" t="str">
            <v>Đồng Nai</v>
          </cell>
          <cell r="C57">
            <v>973725</v>
          </cell>
          <cell r="D57">
            <v>1977643</v>
          </cell>
          <cell r="E57">
            <v>990584</v>
          </cell>
          <cell r="F57">
            <v>2014273</v>
          </cell>
          <cell r="G57">
            <v>1006342</v>
          </cell>
          <cell r="H57">
            <v>2048747</v>
          </cell>
          <cell r="I57">
            <v>1371754</v>
          </cell>
          <cell r="J57">
            <v>1741959</v>
          </cell>
          <cell r="K57">
            <v>1406727</v>
          </cell>
          <cell r="L57">
            <v>1770674</v>
          </cell>
          <cell r="M57">
            <v>1418640</v>
          </cell>
          <cell r="N57">
            <v>1750463</v>
          </cell>
          <cell r="O57">
            <v>1470307</v>
          </cell>
          <cell r="P57">
            <v>1785499</v>
          </cell>
          <cell r="Q57">
            <v>1498496</v>
          </cell>
          <cell r="R57">
            <v>1812366</v>
          </cell>
        </row>
        <row r="58">
          <cell r="A58">
            <v>77</v>
          </cell>
          <cell r="B58" t="str">
            <v>Bà Rịa-Vũng Tàu(***)</v>
          </cell>
          <cell r="C58">
            <v>624176</v>
          </cell>
          <cell r="D58">
            <v>493431</v>
          </cell>
          <cell r="E58">
            <v>639800</v>
          </cell>
          <cell r="F58">
            <v>487390</v>
          </cell>
          <cell r="G58">
            <v>656687</v>
          </cell>
          <cell r="H58">
            <v>481594</v>
          </cell>
          <cell r="I58">
            <v>675599</v>
          </cell>
          <cell r="J58">
            <v>476619</v>
          </cell>
          <cell r="K58">
            <v>672310</v>
          </cell>
          <cell r="L58">
            <v>495627</v>
          </cell>
          <cell r="M58">
            <v>686871</v>
          </cell>
          <cell r="N58">
            <v>489208</v>
          </cell>
          <cell r="O58">
            <v>711887</v>
          </cell>
          <cell r="P58">
            <v>466808</v>
          </cell>
          <cell r="Q58">
            <v>723373</v>
          </cell>
          <cell r="R58">
            <v>464128</v>
          </cell>
        </row>
        <row r="59">
          <cell r="A59">
            <v>79</v>
          </cell>
          <cell r="B59" t="str">
            <v>TP Hồ Chí Minh</v>
          </cell>
          <cell r="C59">
            <v>6828984</v>
          </cell>
          <cell r="D59">
            <v>1650157</v>
          </cell>
          <cell r="E59">
            <v>6928459</v>
          </cell>
          <cell r="F59">
            <v>1721187</v>
          </cell>
          <cell r="G59">
            <v>7045072</v>
          </cell>
          <cell r="H59">
            <v>1798202</v>
          </cell>
          <cell r="I59">
            <v>7161531</v>
          </cell>
          <cell r="J59">
            <v>1877035</v>
          </cell>
          <cell r="K59">
            <v>7290921</v>
          </cell>
          <cell r="L59">
            <v>1936677</v>
          </cell>
          <cell r="M59">
            <v>7239629</v>
          </cell>
          <cell r="N59">
            <v>1927211</v>
          </cell>
          <cell r="O59">
            <v>7297847</v>
          </cell>
          <cell r="P59">
            <v>2091870</v>
          </cell>
          <cell r="Q59">
            <v>7343998</v>
          </cell>
          <cell r="R59">
            <v>2112663</v>
          </cell>
        </row>
        <row r="60">
          <cell r="A60">
            <v>80</v>
          </cell>
          <cell r="B60" t="str">
            <v>Long An</v>
          </cell>
          <cell r="C60">
            <v>271314</v>
          </cell>
          <cell r="D60">
            <v>1373901</v>
          </cell>
          <cell r="E60">
            <v>271824</v>
          </cell>
          <cell r="F60">
            <v>1390456</v>
          </cell>
          <cell r="G60">
            <v>272239</v>
          </cell>
          <cell r="H60">
            <v>1406690</v>
          </cell>
          <cell r="I60">
            <v>272500</v>
          </cell>
          <cell r="J60">
            <v>1422591</v>
          </cell>
          <cell r="K60">
            <v>312525</v>
          </cell>
          <cell r="L60">
            <v>1401133</v>
          </cell>
          <cell r="M60">
            <v>316456</v>
          </cell>
          <cell r="N60">
            <v>1409296</v>
          </cell>
          <cell r="O60">
            <v>318583</v>
          </cell>
          <cell r="P60">
            <v>1415676</v>
          </cell>
          <cell r="Q60">
            <v>320791</v>
          </cell>
          <cell r="R60">
            <v>1422639</v>
          </cell>
        </row>
        <row r="61">
          <cell r="A61">
            <v>82</v>
          </cell>
          <cell r="B61" t="str">
            <v>Tiền Giang</v>
          </cell>
          <cell r="C61">
            <v>243619</v>
          </cell>
          <cell r="D61">
            <v>1496519</v>
          </cell>
          <cell r="E61">
            <v>245258</v>
          </cell>
          <cell r="F61">
            <v>1506583</v>
          </cell>
          <cell r="G61">
            <v>246269</v>
          </cell>
          <cell r="H61">
            <v>1512796</v>
          </cell>
          <cell r="I61">
            <v>247280</v>
          </cell>
          <cell r="J61">
            <v>1519009</v>
          </cell>
          <cell r="K61">
            <v>251906</v>
          </cell>
          <cell r="L61">
            <v>1520639</v>
          </cell>
          <cell r="M61">
            <v>253642</v>
          </cell>
          <cell r="N61">
            <v>1525774</v>
          </cell>
          <cell r="O61">
            <v>271915</v>
          </cell>
          <cell r="P61">
            <v>1513321</v>
          </cell>
          <cell r="Q61">
            <v>273679</v>
          </cell>
          <cell r="R61">
            <v>1516974</v>
          </cell>
        </row>
        <row r="62">
          <cell r="A62">
            <v>83</v>
          </cell>
          <cell r="B62" t="str">
            <v>Bến Tre</v>
          </cell>
          <cell r="C62">
            <v>126099</v>
          </cell>
          <cell r="D62">
            <v>1152520</v>
          </cell>
          <cell r="E62">
            <v>126220</v>
          </cell>
          <cell r="F62">
            <v>1156217</v>
          </cell>
          <cell r="G62">
            <v>126310</v>
          </cell>
          <cell r="H62">
            <v>1159653</v>
          </cell>
          <cell r="I62">
            <v>126362</v>
          </cell>
          <cell r="J62">
            <v>1162736</v>
          </cell>
          <cell r="K62">
            <v>126655</v>
          </cell>
          <cell r="L62">
            <v>1165742</v>
          </cell>
          <cell r="M62">
            <v>128275</v>
          </cell>
          <cell r="N62">
            <v>1167430</v>
          </cell>
          <cell r="O62">
            <v>133045</v>
          </cell>
          <cell r="P62">
            <v>1164961</v>
          </cell>
          <cell r="Q62">
            <v>170426</v>
          </cell>
          <cell r="R62">
            <v>1128902</v>
          </cell>
        </row>
        <row r="63">
          <cell r="A63">
            <v>84</v>
          </cell>
          <cell r="B63" t="str">
            <v>Trà Vinh</v>
          </cell>
          <cell r="C63">
            <v>168395</v>
          </cell>
          <cell r="D63">
            <v>839165</v>
          </cell>
          <cell r="E63">
            <v>169830</v>
          </cell>
          <cell r="F63">
            <v>838257</v>
          </cell>
          <cell r="G63">
            <v>171973</v>
          </cell>
          <cell r="H63">
            <v>836811</v>
          </cell>
          <cell r="I63">
            <v>174115</v>
          </cell>
          <cell r="J63">
            <v>835207</v>
          </cell>
          <cell r="K63">
            <v>175831</v>
          </cell>
          <cell r="L63">
            <v>834109</v>
          </cell>
          <cell r="M63">
            <v>178363</v>
          </cell>
          <cell r="N63">
            <v>840271</v>
          </cell>
          <cell r="O63">
            <v>184859</v>
          </cell>
          <cell r="P63">
            <v>834399</v>
          </cell>
          <cell r="Q63">
            <v>186850</v>
          </cell>
          <cell r="R63">
            <v>833031</v>
          </cell>
        </row>
        <row r="64">
          <cell r="A64">
            <v>86</v>
          </cell>
          <cell r="B64" t="str">
            <v>Vĩnh Long</v>
          </cell>
          <cell r="C64">
            <v>169088</v>
          </cell>
          <cell r="D64">
            <v>853768</v>
          </cell>
          <cell r="E64">
            <v>169387</v>
          </cell>
          <cell r="F64">
            <v>853230</v>
          </cell>
          <cell r="G64">
            <v>169659</v>
          </cell>
          <cell r="H64">
            <v>853023</v>
          </cell>
          <cell r="I64">
            <v>169780</v>
          </cell>
          <cell r="J64">
            <v>852839</v>
          </cell>
          <cell r="K64">
            <v>232068</v>
          </cell>
          <cell r="L64">
            <v>790904</v>
          </cell>
          <cell r="M64">
            <v>233716</v>
          </cell>
          <cell r="N64">
            <v>795299</v>
          </cell>
          <cell r="O64">
            <v>233940</v>
          </cell>
          <cell r="P64">
            <v>794882</v>
          </cell>
          <cell r="Q64">
            <v>235496</v>
          </cell>
          <cell r="R64">
            <v>794134</v>
          </cell>
        </row>
        <row r="65">
          <cell r="A65">
            <v>87</v>
          </cell>
          <cell r="B65" t="str">
            <v>Đồng Tháp</v>
          </cell>
          <cell r="C65">
            <v>292119</v>
          </cell>
          <cell r="D65">
            <v>1326892</v>
          </cell>
          <cell r="E65">
            <v>291561</v>
          </cell>
          <cell r="F65">
            <v>1320928</v>
          </cell>
          <cell r="G65">
            <v>292276</v>
          </cell>
          <cell r="H65">
            <v>1313793</v>
          </cell>
          <cell r="I65">
            <v>304711</v>
          </cell>
          <cell r="J65">
            <v>1294100</v>
          </cell>
          <cell r="K65">
            <v>306145</v>
          </cell>
          <cell r="L65">
            <v>1293869</v>
          </cell>
          <cell r="M65">
            <v>323207</v>
          </cell>
          <cell r="N65">
            <v>1278099</v>
          </cell>
          <cell r="O65">
            <v>323876</v>
          </cell>
          <cell r="P65">
            <v>1276294</v>
          </cell>
          <cell r="Q65">
            <v>325825</v>
          </cell>
          <cell r="R65">
            <v>1274425</v>
          </cell>
        </row>
        <row r="66">
          <cell r="A66">
            <v>89</v>
          </cell>
          <cell r="B66" t="str">
            <v>An Giang</v>
          </cell>
          <cell r="C66">
            <v>605783</v>
          </cell>
          <cell r="D66">
            <v>1370589</v>
          </cell>
          <cell r="E66">
            <v>605580</v>
          </cell>
          <cell r="F66">
            <v>1348597</v>
          </cell>
          <cell r="G66">
            <v>605008</v>
          </cell>
          <cell r="H66">
            <v>1326046</v>
          </cell>
          <cell r="I66">
            <v>602570</v>
          </cell>
          <cell r="J66">
            <v>1304831</v>
          </cell>
          <cell r="K66">
            <v>601641</v>
          </cell>
          <cell r="L66">
            <v>1302891</v>
          </cell>
          <cell r="M66">
            <v>646021</v>
          </cell>
          <cell r="N66">
            <v>1263485</v>
          </cell>
          <cell r="O66">
            <v>644773</v>
          </cell>
          <cell r="P66">
            <v>1260743</v>
          </cell>
          <cell r="Q66">
            <v>705291</v>
          </cell>
          <cell r="R66">
            <v>1200975</v>
          </cell>
        </row>
        <row r="67">
          <cell r="A67">
            <v>91</v>
          </cell>
          <cell r="B67" t="str">
            <v>Kiên Giang</v>
          </cell>
          <cell r="C67">
            <v>476860</v>
          </cell>
          <cell r="D67">
            <v>1231848</v>
          </cell>
          <cell r="E67">
            <v>480575</v>
          </cell>
          <cell r="F67">
            <v>1232316</v>
          </cell>
          <cell r="G67">
            <v>484613</v>
          </cell>
          <cell r="H67">
            <v>1233517</v>
          </cell>
          <cell r="I67">
            <v>488774</v>
          </cell>
          <cell r="J67">
            <v>1234921</v>
          </cell>
          <cell r="K67">
            <v>491755</v>
          </cell>
          <cell r="L67">
            <v>1237114</v>
          </cell>
          <cell r="M67">
            <v>504361</v>
          </cell>
          <cell r="N67">
            <v>1247960</v>
          </cell>
          <cell r="O67">
            <v>522730</v>
          </cell>
          <cell r="P67">
            <v>1229028</v>
          </cell>
          <cell r="Q67">
            <v>528661</v>
          </cell>
          <cell r="R67">
            <v>1226677</v>
          </cell>
        </row>
        <row r="68">
          <cell r="A68">
            <v>92</v>
          </cell>
          <cell r="B68" t="str">
            <v>Cần Thơ</v>
          </cell>
          <cell r="C68">
            <v>833002</v>
          </cell>
          <cell r="D68">
            <v>381588</v>
          </cell>
          <cell r="E68">
            <v>842700</v>
          </cell>
          <cell r="F68">
            <v>379769</v>
          </cell>
          <cell r="G68">
            <v>850600</v>
          </cell>
          <cell r="H68">
            <v>377090</v>
          </cell>
          <cell r="I68">
            <v>861274</v>
          </cell>
          <cell r="J68">
            <v>374680</v>
          </cell>
          <cell r="K68">
            <v>868839</v>
          </cell>
          <cell r="L68">
            <v>371892</v>
          </cell>
          <cell r="M68">
            <v>876923</v>
          </cell>
          <cell r="N68">
            <v>370070</v>
          </cell>
          <cell r="O68">
            <v>882856</v>
          </cell>
          <cell r="P68">
            <v>369492</v>
          </cell>
          <cell r="Q68">
            <v>887831</v>
          </cell>
          <cell r="R68">
            <v>371045</v>
          </cell>
        </row>
        <row r="69">
          <cell r="A69">
            <v>93</v>
          </cell>
          <cell r="B69" t="str">
            <v>Hậu Giang</v>
          </cell>
          <cell r="C69">
            <v>175033</v>
          </cell>
          <cell r="D69">
            <v>565026</v>
          </cell>
          <cell r="E69">
            <v>178923</v>
          </cell>
          <cell r="F69">
            <v>558329</v>
          </cell>
          <cell r="G69">
            <v>183011</v>
          </cell>
          <cell r="H69">
            <v>551892</v>
          </cell>
          <cell r="I69">
            <v>197741</v>
          </cell>
          <cell r="J69">
            <v>534421</v>
          </cell>
          <cell r="K69">
            <v>204053</v>
          </cell>
          <cell r="L69">
            <v>525727</v>
          </cell>
          <cell r="M69">
            <v>212686</v>
          </cell>
          <cell r="N69">
            <v>517202</v>
          </cell>
          <cell r="O69">
            <v>204991</v>
          </cell>
          <cell r="P69">
            <v>524476</v>
          </cell>
          <cell r="Q69">
            <v>204661</v>
          </cell>
          <cell r="R69">
            <v>523632</v>
          </cell>
        </row>
        <row r="70">
          <cell r="A70">
            <v>94</v>
          </cell>
          <cell r="B70" t="str">
            <v>Sóc Trăng</v>
          </cell>
          <cell r="C70">
            <v>379272</v>
          </cell>
          <cell r="D70">
            <v>848304</v>
          </cell>
          <cell r="E70">
            <v>382478</v>
          </cell>
          <cell r="F70">
            <v>835837</v>
          </cell>
          <cell r="G70">
            <v>385518</v>
          </cell>
          <cell r="H70">
            <v>823304</v>
          </cell>
          <cell r="I70">
            <v>388527</v>
          </cell>
          <cell r="J70">
            <v>811001</v>
          </cell>
          <cell r="K70">
            <v>386608</v>
          </cell>
          <cell r="L70">
            <v>809133</v>
          </cell>
          <cell r="M70">
            <v>391396</v>
          </cell>
          <cell r="N70">
            <v>815423</v>
          </cell>
          <cell r="O70">
            <v>405650</v>
          </cell>
          <cell r="P70">
            <v>792173</v>
          </cell>
          <cell r="Q70">
            <v>406016</v>
          </cell>
          <cell r="R70">
            <v>792782</v>
          </cell>
        </row>
        <row r="71">
          <cell r="A71">
            <v>95</v>
          </cell>
          <cell r="B71" t="str">
            <v>Bạc Liêu</v>
          </cell>
          <cell r="C71">
            <v>244059</v>
          </cell>
          <cell r="D71">
            <v>648743</v>
          </cell>
          <cell r="E71">
            <v>246717</v>
          </cell>
          <cell r="F71">
            <v>651001</v>
          </cell>
          <cell r="G71">
            <v>249487</v>
          </cell>
          <cell r="H71">
            <v>653477</v>
          </cell>
          <cell r="I71">
            <v>252288</v>
          </cell>
          <cell r="J71">
            <v>655953</v>
          </cell>
          <cell r="K71">
            <v>253644</v>
          </cell>
          <cell r="L71">
            <v>659837</v>
          </cell>
          <cell r="M71">
            <v>254940</v>
          </cell>
          <cell r="N71">
            <v>663570</v>
          </cell>
          <cell r="O71">
            <v>255891</v>
          </cell>
          <cell r="P71">
            <v>665918</v>
          </cell>
          <cell r="Q71">
            <v>256850</v>
          </cell>
          <cell r="R71">
            <v>668320</v>
          </cell>
        </row>
        <row r="72">
          <cell r="A72">
            <v>96</v>
          </cell>
          <cell r="B72" t="str">
            <v>Cà Mau</v>
          </cell>
          <cell r="C72">
            <v>267356</v>
          </cell>
          <cell r="D72">
            <v>930764</v>
          </cell>
          <cell r="E72">
            <v>268840</v>
          </cell>
          <cell r="F72">
            <v>928200</v>
          </cell>
          <cell r="G72">
            <v>270271</v>
          </cell>
          <cell r="H72">
            <v>925288</v>
          </cell>
          <cell r="I72">
            <v>271699</v>
          </cell>
          <cell r="J72">
            <v>922582</v>
          </cell>
          <cell r="K72">
            <v>271114</v>
          </cell>
          <cell r="L72">
            <v>922780</v>
          </cell>
          <cell r="M72">
            <v>275347</v>
          </cell>
          <cell r="N72">
            <v>933405</v>
          </cell>
          <cell r="O72">
            <v>275772</v>
          </cell>
          <cell r="P72">
            <v>931855</v>
          </cell>
          <cell r="Q72">
            <v>278388</v>
          </cell>
          <cell r="R72">
            <v>928986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40.1</v>
          </cell>
          <cell r="D9">
            <v>40.200000000000003</v>
          </cell>
          <cell r="E9">
            <v>40.700000000000003</v>
          </cell>
          <cell r="F9">
            <v>40.9</v>
          </cell>
          <cell r="G9">
            <v>39.799999999999997</v>
          </cell>
          <cell r="H9">
            <v>39.799999999999997</v>
          </cell>
          <cell r="I9">
            <v>39.9</v>
          </cell>
          <cell r="J9">
            <v>40</v>
          </cell>
        </row>
        <row r="10">
          <cell r="A10" t="str">
            <v>02</v>
          </cell>
          <cell r="B10" t="str">
            <v>Hà Giang</v>
          </cell>
          <cell r="C10">
            <v>7.1</v>
          </cell>
          <cell r="D10">
            <v>7.1</v>
          </cell>
          <cell r="E10">
            <v>7.1</v>
          </cell>
          <cell r="F10">
            <v>7.1</v>
          </cell>
          <cell r="G10">
            <v>7.8</v>
          </cell>
          <cell r="H10">
            <v>7.8</v>
          </cell>
          <cell r="I10">
            <v>7.8</v>
          </cell>
          <cell r="J10">
            <v>7.8</v>
          </cell>
        </row>
        <row r="11">
          <cell r="A11" t="str">
            <v>04</v>
          </cell>
          <cell r="B11" t="str">
            <v>Cao Bằng</v>
          </cell>
          <cell r="C11">
            <v>5.5</v>
          </cell>
          <cell r="D11">
            <v>5.5</v>
          </cell>
          <cell r="E11">
            <v>5.6</v>
          </cell>
          <cell r="F11">
            <v>5.6</v>
          </cell>
          <cell r="G11">
            <v>5.5</v>
          </cell>
          <cell r="H11">
            <v>5.5</v>
          </cell>
          <cell r="I11">
            <v>5.6</v>
          </cell>
          <cell r="J11">
            <v>5.6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6.9</v>
          </cell>
        </row>
        <row r="14">
          <cell r="A14">
            <v>10</v>
          </cell>
          <cell r="B14" t="str">
            <v>Lào Cai</v>
          </cell>
          <cell r="C14">
            <v>5</v>
          </cell>
          <cell r="D14">
            <v>5.0999999999999996</v>
          </cell>
          <cell r="E14">
            <v>5.2</v>
          </cell>
          <cell r="F14">
            <v>5.2</v>
          </cell>
          <cell r="G14">
            <v>6</v>
          </cell>
          <cell r="H14">
            <v>6</v>
          </cell>
          <cell r="I14">
            <v>6</v>
          </cell>
          <cell r="J14">
            <v>6</v>
          </cell>
        </row>
        <row r="15">
          <cell r="A15">
            <v>11</v>
          </cell>
          <cell r="B15" t="str">
            <v>Điện Biên</v>
          </cell>
          <cell r="C15">
            <v>4.9000000000000004</v>
          </cell>
          <cell r="D15">
            <v>4.9000000000000004</v>
          </cell>
          <cell r="E15">
            <v>5</v>
          </cell>
          <cell r="F15">
            <v>5</v>
          </cell>
          <cell r="G15">
            <v>5.6</v>
          </cell>
          <cell r="H15">
            <v>5.6</v>
          </cell>
          <cell r="I15">
            <v>5.6</v>
          </cell>
          <cell r="J15">
            <v>5.6</v>
          </cell>
        </row>
        <row r="16">
          <cell r="A16">
            <v>12</v>
          </cell>
          <cell r="B16" t="str">
            <v>Lai Châu</v>
          </cell>
          <cell r="C16">
            <v>3</v>
          </cell>
          <cell r="D16">
            <v>3</v>
          </cell>
          <cell r="E16">
            <v>2.9</v>
          </cell>
          <cell r="F16">
            <v>3</v>
          </cell>
          <cell r="G16">
            <v>3.9</v>
          </cell>
          <cell r="H16">
            <v>3.9</v>
          </cell>
          <cell r="I16">
            <v>3.9</v>
          </cell>
          <cell r="J16">
            <v>3.9</v>
          </cell>
        </row>
        <row r="17">
          <cell r="A17">
            <v>14</v>
          </cell>
          <cell r="B17" t="str">
            <v>Sơn La</v>
          </cell>
          <cell r="C17">
            <v>8.3000000000000007</v>
          </cell>
          <cell r="D17">
            <v>8.4</v>
          </cell>
          <cell r="E17">
            <v>8.6</v>
          </cell>
          <cell r="F17">
            <v>8.8000000000000007</v>
          </cell>
          <cell r="G17">
            <v>8.8000000000000007</v>
          </cell>
          <cell r="H17">
            <v>8.8000000000000007</v>
          </cell>
          <cell r="I17">
            <v>8.8000000000000007</v>
          </cell>
          <cell r="J17">
            <v>8.8000000000000007</v>
          </cell>
        </row>
        <row r="18">
          <cell r="A18">
            <v>15</v>
          </cell>
          <cell r="B18" t="str">
            <v>Yên Bái</v>
          </cell>
          <cell r="C18">
            <v>5.3</v>
          </cell>
          <cell r="D18">
            <v>5.3</v>
          </cell>
          <cell r="E18">
            <v>5.4</v>
          </cell>
          <cell r="F18">
            <v>5.6</v>
          </cell>
          <cell r="G18">
            <v>6.7</v>
          </cell>
          <cell r="H18">
            <v>6.7</v>
          </cell>
          <cell r="I18">
            <v>6.8</v>
          </cell>
          <cell r="J18">
            <v>6.9</v>
          </cell>
        </row>
        <row r="19">
          <cell r="A19">
            <v>17</v>
          </cell>
          <cell r="B19" t="str">
            <v>Hoà Bình</v>
          </cell>
          <cell r="C19">
            <v>13.9</v>
          </cell>
          <cell r="D19">
            <v>14</v>
          </cell>
          <cell r="E19">
            <v>14</v>
          </cell>
          <cell r="F19">
            <v>14</v>
          </cell>
          <cell r="G19">
            <v>14.3</v>
          </cell>
          <cell r="H19">
            <v>14.3</v>
          </cell>
          <cell r="I19">
            <v>14.4</v>
          </cell>
          <cell r="J19">
            <v>14.4</v>
          </cell>
        </row>
        <row r="20">
          <cell r="A20">
            <v>19</v>
          </cell>
          <cell r="B20" t="str">
            <v>Thái Nguyên</v>
          </cell>
          <cell r="C20">
            <v>11.9</v>
          </cell>
          <cell r="D20">
            <v>12.1</v>
          </cell>
          <cell r="E20">
            <v>12.3</v>
          </cell>
          <cell r="F20">
            <v>12.3</v>
          </cell>
          <cell r="G20">
            <v>12.8</v>
          </cell>
          <cell r="H20">
            <v>12.9</v>
          </cell>
          <cell r="I20">
            <v>12.9</v>
          </cell>
          <cell r="J20">
            <v>13</v>
          </cell>
        </row>
        <row r="21">
          <cell r="A21">
            <v>20</v>
          </cell>
          <cell r="B21" t="str">
            <v>Lạng Sơn</v>
          </cell>
          <cell r="C21">
            <v>8.1</v>
          </cell>
          <cell r="D21">
            <v>8.1</v>
          </cell>
          <cell r="E21">
            <v>8.1</v>
          </cell>
          <cell r="F21">
            <v>8.1999999999999993</v>
          </cell>
          <cell r="G21">
            <v>9.1999999999999993</v>
          </cell>
          <cell r="H21">
            <v>9.3000000000000007</v>
          </cell>
          <cell r="I21">
            <v>9.4</v>
          </cell>
          <cell r="J21">
            <v>9.4</v>
          </cell>
        </row>
        <row r="22">
          <cell r="A22">
            <v>22</v>
          </cell>
          <cell r="B22" t="str">
            <v>Quảng Ninh</v>
          </cell>
          <cell r="C22">
            <v>8.1</v>
          </cell>
          <cell r="D22">
            <v>8.1</v>
          </cell>
          <cell r="E22">
            <v>8.1999999999999993</v>
          </cell>
          <cell r="F22">
            <v>8.1999999999999993</v>
          </cell>
          <cell r="G22">
            <v>9.3000000000000007</v>
          </cell>
          <cell r="H22">
            <v>9.3000000000000007</v>
          </cell>
          <cell r="I22">
            <v>9.6</v>
          </cell>
          <cell r="J22">
            <v>9.6999999999999993</v>
          </cell>
        </row>
        <row r="23">
          <cell r="A23">
            <v>24</v>
          </cell>
          <cell r="B23" t="str">
            <v>Bắc Giang</v>
          </cell>
          <cell r="C23">
            <v>18.3</v>
          </cell>
          <cell r="D23">
            <v>18.399999999999999</v>
          </cell>
          <cell r="E23">
            <v>18.5</v>
          </cell>
          <cell r="F23">
            <v>18.600000000000001</v>
          </cell>
          <cell r="G23">
            <v>19.7</v>
          </cell>
          <cell r="H23">
            <v>20</v>
          </cell>
          <cell r="I23">
            <v>20</v>
          </cell>
          <cell r="J23">
            <v>20.100000000000001</v>
          </cell>
        </row>
        <row r="24">
          <cell r="A24">
            <v>25</v>
          </cell>
          <cell r="B24" t="str">
            <v>Phú Thọ</v>
          </cell>
          <cell r="C24">
            <v>10.5</v>
          </cell>
          <cell r="D24">
            <v>10.5</v>
          </cell>
          <cell r="E24">
            <v>10.6</v>
          </cell>
          <cell r="F24">
            <v>10.6</v>
          </cell>
          <cell r="G24">
            <v>11.2</v>
          </cell>
          <cell r="H24">
            <v>11.3</v>
          </cell>
          <cell r="I24">
            <v>11.4</v>
          </cell>
          <cell r="J24">
            <v>11.4</v>
          </cell>
        </row>
        <row r="25">
          <cell r="A25">
            <v>26</v>
          </cell>
          <cell r="B25" t="str">
            <v>Vĩnh Phúc</v>
          </cell>
          <cell r="C25">
            <v>7.7</v>
          </cell>
          <cell r="D25">
            <v>7.7</v>
          </cell>
          <cell r="E25">
            <v>7.9</v>
          </cell>
          <cell r="F25">
            <v>7.9</v>
          </cell>
          <cell r="G25">
            <v>8.4</v>
          </cell>
          <cell r="H25">
            <v>8.4</v>
          </cell>
          <cell r="I25">
            <v>8.5</v>
          </cell>
          <cell r="J25">
            <v>8.5</v>
          </cell>
        </row>
        <row r="26">
          <cell r="A26">
            <v>27</v>
          </cell>
          <cell r="B26" t="str">
            <v>Bắc Ninh</v>
          </cell>
          <cell r="C26">
            <v>10.199999999999999</v>
          </cell>
          <cell r="D26">
            <v>10.199999999999999</v>
          </cell>
          <cell r="E26">
            <v>10.4</v>
          </cell>
          <cell r="F26">
            <v>10.7</v>
          </cell>
          <cell r="G26">
            <v>10.8</v>
          </cell>
          <cell r="H26">
            <v>11</v>
          </cell>
          <cell r="I26">
            <v>11</v>
          </cell>
          <cell r="J26">
            <v>11</v>
          </cell>
        </row>
        <row r="27">
          <cell r="A27">
            <v>30</v>
          </cell>
          <cell r="B27" t="str">
            <v>Hải Dương</v>
          </cell>
          <cell r="C27">
            <v>16.600000000000001</v>
          </cell>
          <cell r="D27">
            <v>16.7</v>
          </cell>
          <cell r="E27">
            <v>16.7</v>
          </cell>
          <cell r="F27">
            <v>16.8</v>
          </cell>
          <cell r="G27">
            <v>17.3</v>
          </cell>
          <cell r="H27">
            <v>17.399999999999999</v>
          </cell>
          <cell r="I27">
            <v>17.399999999999999</v>
          </cell>
          <cell r="J27">
            <v>17.399999999999999</v>
          </cell>
        </row>
        <row r="28">
          <cell r="A28">
            <v>31</v>
          </cell>
          <cell r="B28" t="str">
            <v>Hải Phòng</v>
          </cell>
          <cell r="C28">
            <v>14.4</v>
          </cell>
          <cell r="D28">
            <v>14.5</v>
          </cell>
          <cell r="E28">
            <v>14.5</v>
          </cell>
          <cell r="F28">
            <v>14.6</v>
          </cell>
          <cell r="G28">
            <v>15.4</v>
          </cell>
          <cell r="H28">
            <v>15.5</v>
          </cell>
          <cell r="I28">
            <v>15.5</v>
          </cell>
          <cell r="J28">
            <v>15.6</v>
          </cell>
        </row>
        <row r="29">
          <cell r="A29">
            <v>33</v>
          </cell>
          <cell r="B29" t="str">
            <v>Hưng Yên</v>
          </cell>
          <cell r="C29">
            <v>9.6</v>
          </cell>
          <cell r="D29">
            <v>9.6</v>
          </cell>
          <cell r="E29">
            <v>9.6</v>
          </cell>
          <cell r="F29">
            <v>9.6999999999999993</v>
          </cell>
          <cell r="G29">
            <v>10</v>
          </cell>
          <cell r="H29">
            <v>10.199999999999999</v>
          </cell>
          <cell r="I29">
            <v>10.4</v>
          </cell>
          <cell r="J29">
            <v>10.5</v>
          </cell>
        </row>
        <row r="30">
          <cell r="A30">
            <v>34</v>
          </cell>
          <cell r="B30" t="str">
            <v>Thái Bình</v>
          </cell>
          <cell r="C30">
            <v>13.4</v>
          </cell>
          <cell r="D30">
            <v>13.5</v>
          </cell>
          <cell r="E30">
            <v>13.6</v>
          </cell>
          <cell r="F30">
            <v>13.6</v>
          </cell>
          <cell r="G30">
            <v>13.9</v>
          </cell>
          <cell r="H30">
            <v>13.9</v>
          </cell>
          <cell r="I30">
            <v>13.9</v>
          </cell>
          <cell r="J30">
            <v>14</v>
          </cell>
        </row>
        <row r="31">
          <cell r="A31">
            <v>35</v>
          </cell>
          <cell r="B31" t="str">
            <v>Hà Nam</v>
          </cell>
          <cell r="C31">
            <v>6.1</v>
          </cell>
          <cell r="D31">
            <v>6.2</v>
          </cell>
          <cell r="E31">
            <v>6.3</v>
          </cell>
          <cell r="F31">
            <v>6.4</v>
          </cell>
          <cell r="G31">
            <v>6.6</v>
          </cell>
          <cell r="H31">
            <v>6.7</v>
          </cell>
          <cell r="I31">
            <v>6.7</v>
          </cell>
          <cell r="J31">
            <v>6.7</v>
          </cell>
        </row>
        <row r="32">
          <cell r="A32">
            <v>36</v>
          </cell>
          <cell r="B32" t="str">
            <v>Nam Định</v>
          </cell>
          <cell r="C32">
            <v>11.1</v>
          </cell>
          <cell r="D32">
            <v>11.2</v>
          </cell>
          <cell r="E32">
            <v>11.2</v>
          </cell>
          <cell r="F32">
            <v>11.2</v>
          </cell>
          <cell r="G32">
            <v>11.5</v>
          </cell>
          <cell r="H32">
            <v>11.5</v>
          </cell>
          <cell r="I32">
            <v>11.6</v>
          </cell>
          <cell r="J32">
            <v>11.7</v>
          </cell>
        </row>
        <row r="33">
          <cell r="A33">
            <v>37</v>
          </cell>
          <cell r="B33" t="str">
            <v>Ninh Bình</v>
          </cell>
          <cell r="C33">
            <v>6.6</v>
          </cell>
          <cell r="D33">
            <v>6.7</v>
          </cell>
          <cell r="E33">
            <v>6.8</v>
          </cell>
          <cell r="F33">
            <v>6.9</v>
          </cell>
          <cell r="G33">
            <v>7.1</v>
          </cell>
          <cell r="H33">
            <v>7.1</v>
          </cell>
          <cell r="I33">
            <v>7.2</v>
          </cell>
          <cell r="J33">
            <v>7.2</v>
          </cell>
        </row>
        <row r="34">
          <cell r="A34">
            <v>38</v>
          </cell>
          <cell r="B34" t="str">
            <v>Thanh Hoá</v>
          </cell>
          <cell r="C34">
            <v>54.7</v>
          </cell>
          <cell r="D34">
            <v>54.9</v>
          </cell>
          <cell r="E34">
            <v>55.2</v>
          </cell>
          <cell r="F34">
            <v>55.8</v>
          </cell>
          <cell r="G34">
            <v>56.5</v>
          </cell>
          <cell r="H34">
            <v>56.7</v>
          </cell>
          <cell r="I34">
            <v>56.9</v>
          </cell>
          <cell r="J34">
            <v>57.1</v>
          </cell>
        </row>
        <row r="35">
          <cell r="A35">
            <v>40</v>
          </cell>
          <cell r="B35" t="str">
            <v>Nghệ An</v>
          </cell>
          <cell r="C35">
            <v>22.6</v>
          </cell>
          <cell r="D35">
            <v>24.7</v>
          </cell>
          <cell r="E35">
            <v>25.6</v>
          </cell>
          <cell r="F35">
            <v>26.8</v>
          </cell>
          <cell r="G35">
            <v>26.9</v>
          </cell>
          <cell r="H35">
            <v>27.2</v>
          </cell>
          <cell r="I35">
            <v>27.8</v>
          </cell>
          <cell r="J35">
            <v>28.2</v>
          </cell>
        </row>
        <row r="36">
          <cell r="A36">
            <v>42</v>
          </cell>
          <cell r="B36" t="str">
            <v>Hà Tĩnh</v>
          </cell>
          <cell r="C36">
            <v>11.8</v>
          </cell>
          <cell r="D36">
            <v>11.9</v>
          </cell>
          <cell r="E36">
            <v>12.1</v>
          </cell>
          <cell r="F36">
            <v>12.3</v>
          </cell>
          <cell r="G36">
            <v>13.2</v>
          </cell>
          <cell r="H36">
            <v>13.4</v>
          </cell>
          <cell r="I36">
            <v>13.7</v>
          </cell>
          <cell r="J36">
            <v>14.2</v>
          </cell>
        </row>
        <row r="37">
          <cell r="A37">
            <v>44</v>
          </cell>
          <cell r="B37" t="str">
            <v>Quảng Bình</v>
          </cell>
          <cell r="C37">
            <v>6.1</v>
          </cell>
          <cell r="D37">
            <v>6.2</v>
          </cell>
          <cell r="E37">
            <v>6.3</v>
          </cell>
          <cell r="F37">
            <v>6.4</v>
          </cell>
          <cell r="G37">
            <v>6.9</v>
          </cell>
          <cell r="H37">
            <v>7</v>
          </cell>
          <cell r="I37">
            <v>7.1</v>
          </cell>
          <cell r="J37">
            <v>7.2</v>
          </cell>
        </row>
        <row r="38">
          <cell r="A38">
            <v>45</v>
          </cell>
          <cell r="B38" t="str">
            <v>Quảng Trị</v>
          </cell>
          <cell r="C38">
            <v>4.3</v>
          </cell>
          <cell r="D38">
            <v>4.3</v>
          </cell>
          <cell r="E38">
            <v>4.3</v>
          </cell>
          <cell r="F38">
            <v>4.3</v>
          </cell>
          <cell r="G38">
            <v>4.5999999999999996</v>
          </cell>
          <cell r="H38">
            <v>4.7</v>
          </cell>
          <cell r="I38">
            <v>4.7</v>
          </cell>
          <cell r="J38">
            <v>4.8</v>
          </cell>
        </row>
        <row r="39">
          <cell r="A39">
            <v>46</v>
          </cell>
          <cell r="B39" t="str">
            <v>Thừa Thiên Huế</v>
          </cell>
          <cell r="C39">
            <v>9.4</v>
          </cell>
          <cell r="D39">
            <v>9.5</v>
          </cell>
          <cell r="E39">
            <v>9.5</v>
          </cell>
          <cell r="F39">
            <v>9.6</v>
          </cell>
          <cell r="G39">
            <v>9.9</v>
          </cell>
          <cell r="H39">
            <v>9.9</v>
          </cell>
          <cell r="I39">
            <v>9.9</v>
          </cell>
          <cell r="J39">
            <v>10</v>
          </cell>
        </row>
        <row r="40">
          <cell r="A40">
            <v>48</v>
          </cell>
          <cell r="B40" t="str">
            <v>Đà Nẵng</v>
          </cell>
          <cell r="C40">
            <v>7.3</v>
          </cell>
          <cell r="D40">
            <v>7.3</v>
          </cell>
          <cell r="E40">
            <v>7.5</v>
          </cell>
          <cell r="F40">
            <v>7.5</v>
          </cell>
          <cell r="G40">
            <v>7.1</v>
          </cell>
          <cell r="H40">
            <v>7.1</v>
          </cell>
          <cell r="I40">
            <v>7.1</v>
          </cell>
          <cell r="J40">
            <v>7.1</v>
          </cell>
        </row>
        <row r="41">
          <cell r="A41">
            <v>49</v>
          </cell>
          <cell r="B41" t="str">
            <v>Quảng Nam</v>
          </cell>
          <cell r="C41">
            <v>20.3</v>
          </cell>
          <cell r="D41">
            <v>20.399999999999999</v>
          </cell>
          <cell r="E41">
            <v>20.399999999999999</v>
          </cell>
          <cell r="F41">
            <v>20.5</v>
          </cell>
          <cell r="G41">
            <v>21.6</v>
          </cell>
          <cell r="H41">
            <v>21.6</v>
          </cell>
          <cell r="I41">
            <v>21.6</v>
          </cell>
          <cell r="J41">
            <v>21.7</v>
          </cell>
        </row>
        <row r="42">
          <cell r="A42">
            <v>51</v>
          </cell>
          <cell r="B42" t="str">
            <v>Quảng Ngãi</v>
          </cell>
          <cell r="C42">
            <v>11.1</v>
          </cell>
          <cell r="D42">
            <v>11.2</v>
          </cell>
          <cell r="E42">
            <v>11.6</v>
          </cell>
          <cell r="F42">
            <v>11.7</v>
          </cell>
          <cell r="G42">
            <v>12</v>
          </cell>
          <cell r="H42">
            <v>12.1</v>
          </cell>
          <cell r="I42">
            <v>12.1</v>
          </cell>
          <cell r="J42">
            <v>12.2</v>
          </cell>
        </row>
        <row r="43">
          <cell r="A43">
            <v>52</v>
          </cell>
          <cell r="B43" t="str">
            <v>Bình Định</v>
          </cell>
          <cell r="C43">
            <v>9.1999999999999993</v>
          </cell>
          <cell r="D43">
            <v>9.3000000000000007</v>
          </cell>
          <cell r="E43">
            <v>9.4</v>
          </cell>
          <cell r="F43">
            <v>9.5</v>
          </cell>
          <cell r="G43">
            <v>10.4</v>
          </cell>
          <cell r="H43">
            <v>10.5</v>
          </cell>
          <cell r="I43">
            <v>10.6</v>
          </cell>
          <cell r="J43">
            <v>10.7</v>
          </cell>
        </row>
        <row r="44">
          <cell r="A44">
            <v>54</v>
          </cell>
          <cell r="B44" t="str">
            <v>Phú Yên</v>
          </cell>
          <cell r="C44">
            <v>5.3</v>
          </cell>
          <cell r="D44">
            <v>5.4</v>
          </cell>
          <cell r="E44">
            <v>5.4</v>
          </cell>
          <cell r="F44">
            <v>5.5</v>
          </cell>
          <cell r="G44">
            <v>5.8</v>
          </cell>
          <cell r="H44">
            <v>5.8</v>
          </cell>
          <cell r="I44">
            <v>5.8</v>
          </cell>
          <cell r="J44">
            <v>5.9</v>
          </cell>
        </row>
        <row r="45">
          <cell r="A45">
            <v>56</v>
          </cell>
          <cell r="B45" t="str">
            <v>Khánh Hoà</v>
          </cell>
          <cell r="C45">
            <v>6.4</v>
          </cell>
          <cell r="D45">
            <v>6.5</v>
          </cell>
          <cell r="E45">
            <v>6.7</v>
          </cell>
          <cell r="F45">
            <v>6.7</v>
          </cell>
          <cell r="G45">
            <v>7.6</v>
          </cell>
          <cell r="H45">
            <v>7.7</v>
          </cell>
          <cell r="I45">
            <v>7.7</v>
          </cell>
          <cell r="J45">
            <v>7.8</v>
          </cell>
        </row>
        <row r="46">
          <cell r="A46">
            <v>58</v>
          </cell>
          <cell r="B46" t="str">
            <v>Ninh Thuận</v>
          </cell>
          <cell r="C46">
            <v>4.9000000000000004</v>
          </cell>
          <cell r="D46">
            <v>4.9000000000000004</v>
          </cell>
          <cell r="E46">
            <v>4.9000000000000004</v>
          </cell>
          <cell r="F46">
            <v>4.9000000000000004</v>
          </cell>
          <cell r="G46">
            <v>5.4</v>
          </cell>
          <cell r="H46">
            <v>5.4</v>
          </cell>
          <cell r="I46">
            <v>5.5</v>
          </cell>
          <cell r="J46">
            <v>5.5</v>
          </cell>
        </row>
        <row r="47">
          <cell r="A47">
            <v>60</v>
          </cell>
          <cell r="B47" t="str">
            <v>Bình Thuận</v>
          </cell>
          <cell r="C47">
            <v>8.8000000000000007</v>
          </cell>
          <cell r="D47">
            <v>8.9</v>
          </cell>
          <cell r="E47">
            <v>8.9</v>
          </cell>
          <cell r="F47">
            <v>9.1</v>
          </cell>
          <cell r="G47">
            <v>10.3</v>
          </cell>
          <cell r="H47">
            <v>10.3</v>
          </cell>
          <cell r="I47">
            <v>10.4</v>
          </cell>
          <cell r="J47">
            <v>10.4</v>
          </cell>
        </row>
        <row r="48">
          <cell r="A48">
            <v>62</v>
          </cell>
          <cell r="B48" t="str">
            <v>Kon Tum</v>
          </cell>
          <cell r="C48">
            <v>8.1999999999999993</v>
          </cell>
          <cell r="D48">
            <v>8.3000000000000007</v>
          </cell>
          <cell r="E48">
            <v>8.4</v>
          </cell>
          <cell r="F48">
            <v>8.3000000000000007</v>
          </cell>
          <cell r="G48">
            <v>8.6999999999999993</v>
          </cell>
          <cell r="H48">
            <v>8.8000000000000007</v>
          </cell>
          <cell r="I48">
            <v>8.8000000000000007</v>
          </cell>
          <cell r="J48">
            <v>8.9</v>
          </cell>
        </row>
        <row r="49">
          <cell r="A49">
            <v>64</v>
          </cell>
          <cell r="B49" t="str">
            <v>Gia Lai</v>
          </cell>
          <cell r="C49">
            <v>18.100000000000001</v>
          </cell>
          <cell r="D49">
            <v>18</v>
          </cell>
          <cell r="E49">
            <v>18.3</v>
          </cell>
          <cell r="F49">
            <v>18.2</v>
          </cell>
          <cell r="G49">
            <v>17.100000000000001</v>
          </cell>
          <cell r="H49">
            <v>17.2</v>
          </cell>
          <cell r="I49">
            <v>17.3</v>
          </cell>
          <cell r="J49">
            <v>17.399999999999999</v>
          </cell>
        </row>
        <row r="50">
          <cell r="A50">
            <v>66</v>
          </cell>
          <cell r="B50" t="str">
            <v>Đắk Lắk</v>
          </cell>
          <cell r="C50">
            <v>14.9</v>
          </cell>
          <cell r="D50">
            <v>14.9</v>
          </cell>
          <cell r="E50">
            <v>15</v>
          </cell>
          <cell r="F50">
            <v>15.1</v>
          </cell>
          <cell r="G50">
            <v>16</v>
          </cell>
          <cell r="H50">
            <v>16.100000000000001</v>
          </cell>
          <cell r="I50">
            <v>16.100000000000001</v>
          </cell>
          <cell r="J50">
            <v>16.2</v>
          </cell>
        </row>
        <row r="51">
          <cell r="A51">
            <v>67</v>
          </cell>
          <cell r="B51" t="str">
            <v>Đắk Nông</v>
          </cell>
          <cell r="C51">
            <v>5.4</v>
          </cell>
          <cell r="D51">
            <v>5.5</v>
          </cell>
          <cell r="E51">
            <v>5.5</v>
          </cell>
          <cell r="F51">
            <v>5.5</v>
          </cell>
          <cell r="G51">
            <v>5.7</v>
          </cell>
          <cell r="H51">
            <v>5.8</v>
          </cell>
          <cell r="I51">
            <v>5.9</v>
          </cell>
          <cell r="J51">
            <v>6</v>
          </cell>
        </row>
        <row r="52">
          <cell r="A52">
            <v>68</v>
          </cell>
          <cell r="B52" t="str">
            <v>Lâm Đồng</v>
          </cell>
          <cell r="C52">
            <v>12.4</v>
          </cell>
          <cell r="D52">
            <v>12.5</v>
          </cell>
          <cell r="E52">
            <v>12.5</v>
          </cell>
          <cell r="F52">
            <v>12.6</v>
          </cell>
          <cell r="G52">
            <v>11.7</v>
          </cell>
          <cell r="H52">
            <v>12</v>
          </cell>
          <cell r="I52">
            <v>12.6</v>
          </cell>
          <cell r="J52">
            <v>12.8</v>
          </cell>
        </row>
        <row r="53">
          <cell r="A53">
            <v>70</v>
          </cell>
          <cell r="B53" t="str">
            <v>Bình Phước</v>
          </cell>
          <cell r="C53">
            <v>6.1</v>
          </cell>
          <cell r="D53">
            <v>6.2</v>
          </cell>
          <cell r="E53">
            <v>6.5</v>
          </cell>
          <cell r="F53">
            <v>6.7</v>
          </cell>
          <cell r="G53">
            <v>7</v>
          </cell>
          <cell r="H53">
            <v>7.4</v>
          </cell>
          <cell r="I53">
            <v>7.9</v>
          </cell>
          <cell r="J53">
            <v>8.3000000000000007</v>
          </cell>
        </row>
        <row r="54">
          <cell r="A54">
            <v>72</v>
          </cell>
          <cell r="B54" t="str">
            <v>Tây Ninh</v>
          </cell>
          <cell r="C54">
            <v>9</v>
          </cell>
          <cell r="D54">
            <v>9.1</v>
          </cell>
          <cell r="E54">
            <v>9.1999999999999993</v>
          </cell>
          <cell r="F54">
            <v>9.1999999999999993</v>
          </cell>
          <cell r="G54">
            <v>10.199999999999999</v>
          </cell>
          <cell r="H54">
            <v>10.4</v>
          </cell>
          <cell r="I54">
            <v>10.6</v>
          </cell>
          <cell r="J54">
            <v>10.8</v>
          </cell>
        </row>
        <row r="55">
          <cell r="A55">
            <v>74</v>
          </cell>
          <cell r="B55" t="str">
            <v>Bình Dương</v>
          </cell>
          <cell r="C55">
            <v>9.4</v>
          </cell>
          <cell r="D55">
            <v>13.5</v>
          </cell>
          <cell r="E55">
            <v>13.6</v>
          </cell>
          <cell r="F55">
            <v>13.9</v>
          </cell>
          <cell r="G55">
            <v>14.9</v>
          </cell>
          <cell r="H55">
            <v>15</v>
          </cell>
          <cell r="I55">
            <v>15.3</v>
          </cell>
          <cell r="J55">
            <v>15.5</v>
          </cell>
        </row>
        <row r="56">
          <cell r="A56">
            <v>75</v>
          </cell>
          <cell r="B56" t="str">
            <v>Đồng Nai</v>
          </cell>
          <cell r="C56">
            <v>17.399999999999999</v>
          </cell>
          <cell r="D56">
            <v>17.5</v>
          </cell>
          <cell r="E56">
            <v>17.7</v>
          </cell>
          <cell r="F56">
            <v>17.8</v>
          </cell>
          <cell r="G56">
            <v>19.600000000000001</v>
          </cell>
          <cell r="H56">
            <v>19.8</v>
          </cell>
          <cell r="I56">
            <v>19.899999999999999</v>
          </cell>
          <cell r="J56">
            <v>20.100000000000001</v>
          </cell>
        </row>
        <row r="57">
          <cell r="A57">
            <v>77</v>
          </cell>
          <cell r="B57" t="str">
            <v>Bà Rịa-Vũng Tàu(***)</v>
          </cell>
          <cell r="C57">
            <v>7</v>
          </cell>
          <cell r="D57">
            <v>7</v>
          </cell>
          <cell r="E57">
            <v>7.1</v>
          </cell>
          <cell r="F57">
            <v>7.3</v>
          </cell>
          <cell r="G57">
            <v>7.8</v>
          </cell>
          <cell r="H57">
            <v>7.9</v>
          </cell>
          <cell r="I57">
            <v>8</v>
          </cell>
          <cell r="J57">
            <v>8.1</v>
          </cell>
        </row>
        <row r="58">
          <cell r="A58">
            <v>79</v>
          </cell>
          <cell r="B58" t="str">
            <v>TP Hồ Chí Minh</v>
          </cell>
          <cell r="C58">
            <v>27.4</v>
          </cell>
          <cell r="D58">
            <v>27.7</v>
          </cell>
          <cell r="E58">
            <v>28.2</v>
          </cell>
          <cell r="F58">
            <v>28.7</v>
          </cell>
          <cell r="G58">
            <v>29.3</v>
          </cell>
          <cell r="H58">
            <v>29.4</v>
          </cell>
          <cell r="I58">
            <v>29.4</v>
          </cell>
          <cell r="J58">
            <v>29.5</v>
          </cell>
        </row>
        <row r="59">
          <cell r="A59">
            <v>80</v>
          </cell>
          <cell r="B59" t="str">
            <v>Long An</v>
          </cell>
          <cell r="C59">
            <v>26.2</v>
          </cell>
          <cell r="D59">
            <v>26.4</v>
          </cell>
          <cell r="E59">
            <v>26.6</v>
          </cell>
          <cell r="F59">
            <v>26.9</v>
          </cell>
          <cell r="G59">
            <v>30.2</v>
          </cell>
          <cell r="H59">
            <v>30.4</v>
          </cell>
          <cell r="I59">
            <v>30</v>
          </cell>
          <cell r="J59">
            <v>30.2</v>
          </cell>
        </row>
        <row r="60">
          <cell r="A60">
            <v>82</v>
          </cell>
          <cell r="B60" t="str">
            <v>Tiền Giang</v>
          </cell>
          <cell r="C60">
            <v>9.9</v>
          </cell>
          <cell r="D60">
            <v>9.9</v>
          </cell>
          <cell r="E60">
            <v>10</v>
          </cell>
          <cell r="F60">
            <v>10</v>
          </cell>
          <cell r="G60">
            <v>10.9</v>
          </cell>
          <cell r="H60">
            <v>10.9</v>
          </cell>
          <cell r="I60">
            <v>11.1</v>
          </cell>
          <cell r="J60">
            <v>11.3</v>
          </cell>
        </row>
        <row r="61">
          <cell r="A61">
            <v>83</v>
          </cell>
          <cell r="B61" t="str">
            <v>Bến Tre</v>
          </cell>
          <cell r="C61">
            <v>8.1</v>
          </cell>
          <cell r="D61">
            <v>8.1</v>
          </cell>
          <cell r="E61">
            <v>8.1</v>
          </cell>
          <cell r="F61">
            <v>8.1</v>
          </cell>
          <cell r="G61">
            <v>9.1</v>
          </cell>
          <cell r="H61">
            <v>9.1</v>
          </cell>
          <cell r="I61">
            <v>9.1</v>
          </cell>
          <cell r="J61">
            <v>9.1</v>
          </cell>
        </row>
        <row r="62">
          <cell r="A62">
            <v>84</v>
          </cell>
          <cell r="B62" t="str">
            <v>Trà Vinh</v>
          </cell>
          <cell r="C62">
            <v>4.8</v>
          </cell>
          <cell r="D62">
            <v>4.8</v>
          </cell>
          <cell r="E62">
            <v>4.9000000000000004</v>
          </cell>
          <cell r="F62">
            <v>4.9000000000000004</v>
          </cell>
          <cell r="G62">
            <v>6</v>
          </cell>
          <cell r="H62">
            <v>6</v>
          </cell>
          <cell r="I62">
            <v>6.1</v>
          </cell>
          <cell r="J62">
            <v>6.1</v>
          </cell>
        </row>
        <row r="63">
          <cell r="A63">
            <v>86</v>
          </cell>
          <cell r="B63" t="str">
            <v>Vĩnh Long</v>
          </cell>
          <cell r="C63">
            <v>5.9</v>
          </cell>
          <cell r="D63">
            <v>6</v>
          </cell>
          <cell r="E63">
            <v>6</v>
          </cell>
          <cell r="F63">
            <v>6.1</v>
          </cell>
          <cell r="G63">
            <v>6.5</v>
          </cell>
          <cell r="H63">
            <v>6.5</v>
          </cell>
          <cell r="I63">
            <v>6.6</v>
          </cell>
          <cell r="J63">
            <v>6.7</v>
          </cell>
        </row>
        <row r="64">
          <cell r="A64">
            <v>87</v>
          </cell>
          <cell r="B64" t="str">
            <v>Đồng Tháp</v>
          </cell>
          <cell r="C64">
            <v>14.5</v>
          </cell>
          <cell r="D64">
            <v>14.5</v>
          </cell>
          <cell r="E64">
            <v>14.6</v>
          </cell>
          <cell r="F64">
            <v>14.6</v>
          </cell>
          <cell r="G64">
            <v>15.6</v>
          </cell>
          <cell r="H64">
            <v>15.6</v>
          </cell>
          <cell r="I64">
            <v>15.6</v>
          </cell>
          <cell r="J64">
            <v>15.7</v>
          </cell>
        </row>
        <row r="65">
          <cell r="A65">
            <v>89</v>
          </cell>
          <cell r="B65" t="str">
            <v>An Giang</v>
          </cell>
          <cell r="C65">
            <v>13.5</v>
          </cell>
          <cell r="D65">
            <v>13.5</v>
          </cell>
          <cell r="E65">
            <v>13.5</v>
          </cell>
          <cell r="F65">
            <v>13.5</v>
          </cell>
          <cell r="G65">
            <v>14</v>
          </cell>
          <cell r="H65">
            <v>14.1</v>
          </cell>
          <cell r="I65">
            <v>14.1</v>
          </cell>
          <cell r="J65">
            <v>14.1</v>
          </cell>
        </row>
        <row r="66">
          <cell r="A66">
            <v>91</v>
          </cell>
          <cell r="B66" t="str">
            <v>Kiên Giang</v>
          </cell>
          <cell r="C66">
            <v>13.8</v>
          </cell>
          <cell r="D66">
            <v>13.8</v>
          </cell>
          <cell r="E66">
            <v>13.7</v>
          </cell>
          <cell r="F66">
            <v>13.8</v>
          </cell>
          <cell r="G66">
            <v>14.3</v>
          </cell>
          <cell r="H66">
            <v>14.3</v>
          </cell>
          <cell r="I66">
            <v>14.3</v>
          </cell>
          <cell r="J66">
            <v>14.4</v>
          </cell>
        </row>
        <row r="67">
          <cell r="A67">
            <v>92</v>
          </cell>
          <cell r="B67" t="str">
            <v>Cần Thơ</v>
          </cell>
          <cell r="C67">
            <v>8.4</v>
          </cell>
          <cell r="D67">
            <v>8.4</v>
          </cell>
          <cell r="E67">
            <v>8.1999999999999993</v>
          </cell>
          <cell r="F67">
            <v>8.3000000000000007</v>
          </cell>
          <cell r="G67">
            <v>8.6</v>
          </cell>
          <cell r="H67">
            <v>8.6999999999999993</v>
          </cell>
          <cell r="I67">
            <v>8.6999999999999993</v>
          </cell>
          <cell r="J67">
            <v>8.6999999999999993</v>
          </cell>
        </row>
        <row r="68">
          <cell r="A68">
            <v>93</v>
          </cell>
          <cell r="B68" t="str">
            <v>Hậu Giang</v>
          </cell>
          <cell r="C68">
            <v>4.4000000000000004</v>
          </cell>
          <cell r="D68">
            <v>4.5</v>
          </cell>
          <cell r="E68">
            <v>4.5</v>
          </cell>
          <cell r="F68">
            <v>4.5</v>
          </cell>
          <cell r="G68">
            <v>4.5</v>
          </cell>
          <cell r="H68">
            <v>4.5</v>
          </cell>
          <cell r="I68">
            <v>4.5999999999999996</v>
          </cell>
          <cell r="J68">
            <v>4.5999999999999996</v>
          </cell>
        </row>
        <row r="69">
          <cell r="A69">
            <v>94</v>
          </cell>
          <cell r="B69" t="str">
            <v>Sóc Trăng</v>
          </cell>
          <cell r="C69">
            <v>5.7</v>
          </cell>
          <cell r="D69">
            <v>5.7</v>
          </cell>
          <cell r="E69">
            <v>5.7</v>
          </cell>
          <cell r="F69">
            <v>5.8</v>
          </cell>
          <cell r="G69">
            <v>6</v>
          </cell>
          <cell r="H69">
            <v>6.1</v>
          </cell>
          <cell r="I69">
            <v>6.1</v>
          </cell>
          <cell r="J69">
            <v>6.1</v>
          </cell>
        </row>
        <row r="70">
          <cell r="A70">
            <v>95</v>
          </cell>
          <cell r="B70" t="str">
            <v>Bạc Liêu</v>
          </cell>
          <cell r="C70">
            <v>5</v>
          </cell>
          <cell r="D70">
            <v>5</v>
          </cell>
          <cell r="E70">
            <v>4.9000000000000004</v>
          </cell>
          <cell r="F70">
            <v>5.0999999999999996</v>
          </cell>
          <cell r="G70">
            <v>5.0999999999999996</v>
          </cell>
          <cell r="H70">
            <v>5.0999999999999996</v>
          </cell>
          <cell r="I70">
            <v>5.2</v>
          </cell>
          <cell r="J70">
            <v>5.2</v>
          </cell>
        </row>
        <row r="71">
          <cell r="A71">
            <v>96</v>
          </cell>
          <cell r="B71" t="str">
            <v>Cà Mau</v>
          </cell>
          <cell r="C71">
            <v>6.5</v>
          </cell>
          <cell r="D71">
            <v>6.5</v>
          </cell>
          <cell r="E71">
            <v>6.5</v>
          </cell>
          <cell r="F71">
            <v>6.6</v>
          </cell>
          <cell r="G71">
            <v>6.7</v>
          </cell>
          <cell r="H71">
            <v>6.8</v>
          </cell>
          <cell r="I71">
            <v>6.8</v>
          </cell>
          <cell r="J71">
            <v>6.8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157.1</v>
          </cell>
          <cell r="D9">
            <v>155.6</v>
          </cell>
          <cell r="E9">
            <v>154.69999999999999</v>
          </cell>
          <cell r="F9">
            <v>154.30000000000001</v>
          </cell>
          <cell r="G9">
            <v>156</v>
          </cell>
          <cell r="H9">
            <v>155.69999999999999</v>
          </cell>
          <cell r="I9">
            <v>155.4</v>
          </cell>
          <cell r="J9">
            <v>154.69999999999999</v>
          </cell>
        </row>
        <row r="10">
          <cell r="A10" t="str">
            <v>02</v>
          </cell>
          <cell r="B10" t="str">
            <v>Hà Giang</v>
          </cell>
          <cell r="C10">
            <v>198.6</v>
          </cell>
          <cell r="D10">
            <v>197.9</v>
          </cell>
          <cell r="E10">
            <v>195.1</v>
          </cell>
          <cell r="F10">
            <v>194.4</v>
          </cell>
          <cell r="G10">
            <v>201.2</v>
          </cell>
          <cell r="H10">
            <v>201.3</v>
          </cell>
          <cell r="I10">
            <v>200.6</v>
          </cell>
          <cell r="J10">
            <v>199.5</v>
          </cell>
        </row>
        <row r="11">
          <cell r="A11" t="str">
            <v>04</v>
          </cell>
          <cell r="B11" t="str">
            <v>Cao Bằng</v>
          </cell>
          <cell r="C11">
            <v>109.4</v>
          </cell>
          <cell r="D11">
            <v>109.3</v>
          </cell>
          <cell r="E11">
            <v>109.3</v>
          </cell>
          <cell r="F11">
            <v>109.2</v>
          </cell>
          <cell r="G11">
            <v>110</v>
          </cell>
          <cell r="H11">
            <v>110</v>
          </cell>
          <cell r="I11">
            <v>109.9</v>
          </cell>
          <cell r="J11">
            <v>109.9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97.6</v>
          </cell>
        </row>
        <row r="14">
          <cell r="A14">
            <v>10</v>
          </cell>
          <cell r="B14" t="str">
            <v>Lào Cai</v>
          </cell>
          <cell r="C14">
            <v>135.4</v>
          </cell>
          <cell r="D14">
            <v>135.80000000000001</v>
          </cell>
          <cell r="E14">
            <v>135</v>
          </cell>
          <cell r="F14">
            <v>133.5</v>
          </cell>
          <cell r="G14">
            <v>137.5</v>
          </cell>
          <cell r="H14">
            <v>134.19999999999999</v>
          </cell>
          <cell r="I14">
            <v>132.69999999999999</v>
          </cell>
          <cell r="J14">
            <v>135.4</v>
          </cell>
        </row>
        <row r="15">
          <cell r="A15">
            <v>11</v>
          </cell>
          <cell r="B15" t="str">
            <v>Điện Biên</v>
          </cell>
          <cell r="C15">
            <v>370.8</v>
          </cell>
          <cell r="D15">
            <v>368.6</v>
          </cell>
          <cell r="E15">
            <v>370.8</v>
          </cell>
          <cell r="F15">
            <v>366.3</v>
          </cell>
          <cell r="G15">
            <v>472.5</v>
          </cell>
          <cell r="H15">
            <v>472.3</v>
          </cell>
          <cell r="I15">
            <v>470.6</v>
          </cell>
          <cell r="J15">
            <v>465.1</v>
          </cell>
        </row>
        <row r="16">
          <cell r="A16">
            <v>12</v>
          </cell>
          <cell r="B16" t="str">
            <v>Lai Châu</v>
          </cell>
          <cell r="C16">
            <v>108.4</v>
          </cell>
          <cell r="D16">
            <v>109.7</v>
          </cell>
          <cell r="E16">
            <v>110</v>
          </cell>
          <cell r="F16">
            <v>111.1</v>
          </cell>
          <cell r="G16">
            <v>115.9</v>
          </cell>
          <cell r="H16">
            <v>115.6</v>
          </cell>
          <cell r="I16">
            <v>115.4</v>
          </cell>
          <cell r="J16">
            <v>115.2</v>
          </cell>
        </row>
        <row r="17">
          <cell r="A17">
            <v>14</v>
          </cell>
          <cell r="B17" t="str">
            <v>Sơn La</v>
          </cell>
          <cell r="C17">
            <v>355.8</v>
          </cell>
          <cell r="D17">
            <v>364.9</v>
          </cell>
          <cell r="E17">
            <v>364.8</v>
          </cell>
          <cell r="F17">
            <v>367.9</v>
          </cell>
          <cell r="G17">
            <v>409</v>
          </cell>
          <cell r="H17">
            <v>408.5</v>
          </cell>
          <cell r="I17">
            <v>408.2</v>
          </cell>
          <cell r="J17">
            <v>408</v>
          </cell>
        </row>
        <row r="18">
          <cell r="A18">
            <v>15</v>
          </cell>
          <cell r="B18" t="str">
            <v>Yên Bái</v>
          </cell>
          <cell r="C18">
            <v>119.3</v>
          </cell>
          <cell r="D18">
            <v>119.2</v>
          </cell>
          <cell r="E18">
            <v>119.1</v>
          </cell>
          <cell r="F18">
            <v>120.1</v>
          </cell>
          <cell r="G18">
            <v>121.6</v>
          </cell>
          <cell r="H18">
            <v>121.5</v>
          </cell>
          <cell r="I18">
            <v>121.3</v>
          </cell>
          <cell r="J18">
            <v>121.2</v>
          </cell>
        </row>
        <row r="19">
          <cell r="A19">
            <v>17</v>
          </cell>
          <cell r="B19" t="str">
            <v>Hoà Bình</v>
          </cell>
          <cell r="C19">
            <v>88.7</v>
          </cell>
          <cell r="D19">
            <v>88.6</v>
          </cell>
          <cell r="E19">
            <v>88.5</v>
          </cell>
          <cell r="F19">
            <v>88.4</v>
          </cell>
          <cell r="G19">
            <v>92.6</v>
          </cell>
          <cell r="H19">
            <v>92.4</v>
          </cell>
          <cell r="I19">
            <v>92.3</v>
          </cell>
          <cell r="J19">
            <v>92.6</v>
          </cell>
        </row>
        <row r="20">
          <cell r="A20">
            <v>19</v>
          </cell>
          <cell r="B20" t="str">
            <v>Thái Nguyên</v>
          </cell>
          <cell r="C20">
            <v>112.8</v>
          </cell>
          <cell r="D20">
            <v>112.5</v>
          </cell>
          <cell r="E20">
            <v>112.2</v>
          </cell>
          <cell r="F20">
            <v>112.1</v>
          </cell>
          <cell r="G20">
            <v>109.9</v>
          </cell>
          <cell r="H20">
            <v>109.8</v>
          </cell>
          <cell r="I20">
            <v>110.4</v>
          </cell>
          <cell r="J20">
            <v>110.2</v>
          </cell>
        </row>
        <row r="21">
          <cell r="A21">
            <v>20</v>
          </cell>
          <cell r="B21" t="str">
            <v>Lạng Sơn</v>
          </cell>
          <cell r="C21">
            <v>111.5</v>
          </cell>
          <cell r="D21">
            <v>111.4</v>
          </cell>
          <cell r="E21">
            <v>111.1</v>
          </cell>
          <cell r="F21">
            <v>110.8</v>
          </cell>
          <cell r="G21">
            <v>114.8</v>
          </cell>
          <cell r="H21">
            <v>114.6</v>
          </cell>
          <cell r="I21">
            <v>114.3</v>
          </cell>
          <cell r="J21">
            <v>114.2</v>
          </cell>
        </row>
        <row r="22">
          <cell r="A22">
            <v>22</v>
          </cell>
          <cell r="B22" t="str">
            <v>Quảng Ninh</v>
          </cell>
          <cell r="C22">
            <v>61.5</v>
          </cell>
          <cell r="D22">
            <v>61.3</v>
          </cell>
          <cell r="E22">
            <v>61</v>
          </cell>
          <cell r="F22">
            <v>60.8</v>
          </cell>
          <cell r="G22">
            <v>59.6</v>
          </cell>
          <cell r="H22">
            <v>59.2</v>
          </cell>
          <cell r="I22">
            <v>58.8</v>
          </cell>
          <cell r="J22">
            <v>58.5</v>
          </cell>
        </row>
        <row r="23">
          <cell r="A23">
            <v>24</v>
          </cell>
          <cell r="B23" t="str">
            <v>Bắc Giang</v>
          </cell>
          <cell r="C23">
            <v>148.19999999999999</v>
          </cell>
          <cell r="D23">
            <v>147.9</v>
          </cell>
          <cell r="E23">
            <v>147.80000000000001</v>
          </cell>
          <cell r="F23">
            <v>147.5</v>
          </cell>
          <cell r="G23">
            <v>146.6</v>
          </cell>
          <cell r="H23">
            <v>146</v>
          </cell>
          <cell r="I23">
            <v>145.5</v>
          </cell>
          <cell r="J23">
            <v>144.80000000000001</v>
          </cell>
        </row>
        <row r="24">
          <cell r="A24">
            <v>25</v>
          </cell>
          <cell r="B24" t="str">
            <v>Phú Thọ</v>
          </cell>
          <cell r="C24">
            <v>118.5</v>
          </cell>
          <cell r="D24">
            <v>118.4</v>
          </cell>
          <cell r="E24">
            <v>118.2</v>
          </cell>
          <cell r="F24">
            <v>118.2</v>
          </cell>
          <cell r="G24">
            <v>118.1</v>
          </cell>
          <cell r="H24">
            <v>118</v>
          </cell>
          <cell r="I24">
            <v>117.7</v>
          </cell>
          <cell r="J24">
            <v>117.5</v>
          </cell>
        </row>
        <row r="25">
          <cell r="A25">
            <v>26</v>
          </cell>
          <cell r="B25" t="str">
            <v>Vĩnh Phúc</v>
          </cell>
          <cell r="C25">
            <v>55.8</v>
          </cell>
          <cell r="D25">
            <v>55.7</v>
          </cell>
          <cell r="E25">
            <v>55.3</v>
          </cell>
          <cell r="F25">
            <v>55.9</v>
          </cell>
          <cell r="G25">
            <v>54.2</v>
          </cell>
          <cell r="H25">
            <v>54</v>
          </cell>
          <cell r="I25">
            <v>53.9</v>
          </cell>
          <cell r="J25">
            <v>53.6</v>
          </cell>
        </row>
        <row r="26">
          <cell r="A26">
            <v>27</v>
          </cell>
          <cell r="B26" t="str">
            <v>Bắc Ninh</v>
          </cell>
          <cell r="C26">
            <v>43.8</v>
          </cell>
          <cell r="D26">
            <v>43.5</v>
          </cell>
          <cell r="E26">
            <v>43.1</v>
          </cell>
          <cell r="F26">
            <v>42.5</v>
          </cell>
          <cell r="G26">
            <v>41</v>
          </cell>
          <cell r="H26">
            <v>40.700000000000003</v>
          </cell>
          <cell r="I26">
            <v>40.299999999999997</v>
          </cell>
          <cell r="J26">
            <v>39.5</v>
          </cell>
        </row>
        <row r="27">
          <cell r="A27">
            <v>30</v>
          </cell>
          <cell r="B27" t="str">
            <v>Hải Dương</v>
          </cell>
          <cell r="C27">
            <v>86.4</v>
          </cell>
          <cell r="D27">
            <v>86.2</v>
          </cell>
          <cell r="E27">
            <v>86</v>
          </cell>
          <cell r="F27">
            <v>85.7</v>
          </cell>
          <cell r="G27">
            <v>83.7</v>
          </cell>
          <cell r="H27">
            <v>83.3</v>
          </cell>
          <cell r="I27">
            <v>83.1</v>
          </cell>
          <cell r="J27">
            <v>82.5</v>
          </cell>
        </row>
        <row r="28">
          <cell r="A28">
            <v>31</v>
          </cell>
          <cell r="B28" t="str">
            <v>Hải Phòng</v>
          </cell>
          <cell r="C28">
            <v>51</v>
          </cell>
          <cell r="D28">
            <v>50.7</v>
          </cell>
          <cell r="E28">
            <v>50.6</v>
          </cell>
          <cell r="F28">
            <v>50.5</v>
          </cell>
          <cell r="G28">
            <v>48.8</v>
          </cell>
          <cell r="H28">
            <v>48.6</v>
          </cell>
          <cell r="I28">
            <v>48.5</v>
          </cell>
          <cell r="J28">
            <v>48.1</v>
          </cell>
        </row>
        <row r="29">
          <cell r="A29">
            <v>33</v>
          </cell>
          <cell r="B29" t="str">
            <v>Hưng Yên</v>
          </cell>
          <cell r="C29">
            <v>54.1</v>
          </cell>
          <cell r="D29">
            <v>54</v>
          </cell>
          <cell r="E29">
            <v>53.8</v>
          </cell>
          <cell r="F29">
            <v>53.6</v>
          </cell>
          <cell r="G29">
            <v>51.3</v>
          </cell>
          <cell r="H29">
            <v>50.7</v>
          </cell>
          <cell r="I29">
            <v>50</v>
          </cell>
          <cell r="J29">
            <v>49.3</v>
          </cell>
        </row>
        <row r="30">
          <cell r="A30">
            <v>34</v>
          </cell>
          <cell r="B30" t="str">
            <v>Thái Bình</v>
          </cell>
          <cell r="C30">
            <v>93.7</v>
          </cell>
          <cell r="D30">
            <v>93.5</v>
          </cell>
          <cell r="E30">
            <v>93.2</v>
          </cell>
          <cell r="F30">
            <v>92.9</v>
          </cell>
          <cell r="G30">
            <v>91.7</v>
          </cell>
          <cell r="H30">
            <v>91.3</v>
          </cell>
          <cell r="I30">
            <v>91</v>
          </cell>
          <cell r="J30">
            <v>90.5</v>
          </cell>
        </row>
        <row r="31">
          <cell r="A31">
            <v>35</v>
          </cell>
          <cell r="B31" t="str">
            <v>Hà Nam</v>
          </cell>
          <cell r="C31">
            <v>42.6</v>
          </cell>
          <cell r="D31">
            <v>42.3</v>
          </cell>
          <cell r="E31">
            <v>41.9</v>
          </cell>
          <cell r="F31">
            <v>41.7</v>
          </cell>
          <cell r="G31">
            <v>40.6</v>
          </cell>
          <cell r="H31">
            <v>40.299999999999997</v>
          </cell>
          <cell r="I31">
            <v>40.299999999999997</v>
          </cell>
          <cell r="J31">
            <v>40.1</v>
          </cell>
        </row>
        <row r="32">
          <cell r="A32">
            <v>36</v>
          </cell>
          <cell r="B32" t="str">
            <v>Nam Định</v>
          </cell>
          <cell r="C32">
            <v>91.4</v>
          </cell>
          <cell r="D32">
            <v>91.2</v>
          </cell>
          <cell r="E32">
            <v>91</v>
          </cell>
          <cell r="F32">
            <v>90.9</v>
          </cell>
          <cell r="G32">
            <v>89.7</v>
          </cell>
          <cell r="H32">
            <v>89.3</v>
          </cell>
          <cell r="I32">
            <v>89.1</v>
          </cell>
          <cell r="J32">
            <v>88.7</v>
          </cell>
        </row>
        <row r="33">
          <cell r="A33">
            <v>37</v>
          </cell>
          <cell r="B33" t="str">
            <v>Ninh Bình</v>
          </cell>
          <cell r="C33">
            <v>61.6</v>
          </cell>
          <cell r="D33">
            <v>61.3</v>
          </cell>
          <cell r="E33">
            <v>61.1</v>
          </cell>
          <cell r="F33">
            <v>61</v>
          </cell>
          <cell r="G33">
            <v>60</v>
          </cell>
          <cell r="H33">
            <v>60.2</v>
          </cell>
          <cell r="I33">
            <v>60.1</v>
          </cell>
          <cell r="J33">
            <v>59.9</v>
          </cell>
        </row>
        <row r="34">
          <cell r="A34">
            <v>38</v>
          </cell>
          <cell r="B34" t="str">
            <v>Thanh Hoá</v>
          </cell>
          <cell r="C34">
            <v>249.9</v>
          </cell>
          <cell r="D34">
            <v>249.1</v>
          </cell>
          <cell r="E34">
            <v>248.5</v>
          </cell>
          <cell r="F34">
            <v>247.5</v>
          </cell>
          <cell r="G34">
            <v>244</v>
          </cell>
          <cell r="H34">
            <v>243.1</v>
          </cell>
          <cell r="I34">
            <v>242.7</v>
          </cell>
          <cell r="J34">
            <v>242.1</v>
          </cell>
        </row>
        <row r="35">
          <cell r="A35">
            <v>40</v>
          </cell>
          <cell r="B35" t="str">
            <v>Nghệ An</v>
          </cell>
          <cell r="C35">
            <v>303.89999999999998</v>
          </cell>
          <cell r="D35">
            <v>302</v>
          </cell>
          <cell r="E35">
            <v>300.2</v>
          </cell>
          <cell r="F35">
            <v>298.7</v>
          </cell>
          <cell r="G35">
            <v>292.10000000000002</v>
          </cell>
          <cell r="H35">
            <v>291.5</v>
          </cell>
          <cell r="I35">
            <v>290.5</v>
          </cell>
          <cell r="J35">
            <v>291.5</v>
          </cell>
        </row>
        <row r="36">
          <cell r="A36">
            <v>42</v>
          </cell>
          <cell r="B36" t="str">
            <v>Hà Tĩnh</v>
          </cell>
          <cell r="C36">
            <v>152.19999999999999</v>
          </cell>
          <cell r="D36">
            <v>151.80000000000001</v>
          </cell>
          <cell r="E36">
            <v>151.4</v>
          </cell>
          <cell r="F36">
            <v>151</v>
          </cell>
          <cell r="G36">
            <v>138.80000000000001</v>
          </cell>
          <cell r="H36">
            <v>138.6</v>
          </cell>
          <cell r="I36">
            <v>137.5</v>
          </cell>
          <cell r="J36">
            <v>136.80000000000001</v>
          </cell>
        </row>
        <row r="37">
          <cell r="A37">
            <v>44</v>
          </cell>
          <cell r="B37" t="str">
            <v>Quảng Bình</v>
          </cell>
          <cell r="C37">
            <v>90</v>
          </cell>
          <cell r="D37">
            <v>90.2</v>
          </cell>
          <cell r="E37">
            <v>90.1</v>
          </cell>
          <cell r="F37">
            <v>89.8</v>
          </cell>
          <cell r="G37">
            <v>91.7</v>
          </cell>
          <cell r="H37">
            <v>91.6</v>
          </cell>
          <cell r="I37">
            <v>91.5</v>
          </cell>
          <cell r="J37">
            <v>90.9</v>
          </cell>
        </row>
        <row r="38">
          <cell r="A38">
            <v>45</v>
          </cell>
          <cell r="B38" t="str">
            <v>Quảng Trị</v>
          </cell>
          <cell r="C38">
            <v>120.4</v>
          </cell>
          <cell r="D38">
            <v>120.9</v>
          </cell>
          <cell r="E38">
            <v>120.7</v>
          </cell>
          <cell r="F38">
            <v>120.9</v>
          </cell>
          <cell r="G38">
            <v>122.4</v>
          </cell>
          <cell r="H38">
            <v>122.2</v>
          </cell>
          <cell r="I38">
            <v>121.8</v>
          </cell>
          <cell r="J38">
            <v>121.5</v>
          </cell>
        </row>
        <row r="39">
          <cell r="A39">
            <v>46</v>
          </cell>
          <cell r="B39" t="str">
            <v>Thừa Thiên Huế</v>
          </cell>
          <cell r="C39">
            <v>69.2</v>
          </cell>
          <cell r="D39">
            <v>69</v>
          </cell>
          <cell r="E39">
            <v>68.900000000000006</v>
          </cell>
          <cell r="F39">
            <v>68.8</v>
          </cell>
          <cell r="G39">
            <v>68.3</v>
          </cell>
          <cell r="H39">
            <v>68.2</v>
          </cell>
          <cell r="I39">
            <v>68.099999999999994</v>
          </cell>
          <cell r="J39">
            <v>67.8</v>
          </cell>
        </row>
        <row r="40">
          <cell r="A40">
            <v>48</v>
          </cell>
          <cell r="B40" t="str">
            <v>Đà Nẵng</v>
          </cell>
          <cell r="C40">
            <v>6.8</v>
          </cell>
          <cell r="D40">
            <v>6.7</v>
          </cell>
          <cell r="E40">
            <v>6.6</v>
          </cell>
          <cell r="F40">
            <v>6.6</v>
          </cell>
          <cell r="G40">
            <v>8.3000000000000007</v>
          </cell>
          <cell r="H40">
            <v>8</v>
          </cell>
          <cell r="I40">
            <v>8</v>
          </cell>
          <cell r="J40">
            <v>7.9</v>
          </cell>
        </row>
        <row r="41">
          <cell r="A41">
            <v>49</v>
          </cell>
          <cell r="B41" t="str">
            <v>Quảng Nam</v>
          </cell>
          <cell r="C41">
            <v>220.1</v>
          </cell>
          <cell r="D41">
            <v>220</v>
          </cell>
          <cell r="E41">
            <v>219.6</v>
          </cell>
          <cell r="F41">
            <v>219.5</v>
          </cell>
          <cell r="G41">
            <v>193.1</v>
          </cell>
          <cell r="H41">
            <v>192.9</v>
          </cell>
          <cell r="I41">
            <v>192.9</v>
          </cell>
          <cell r="J41">
            <v>192.8</v>
          </cell>
        </row>
        <row r="42">
          <cell r="A42">
            <v>51</v>
          </cell>
          <cell r="B42" t="str">
            <v>Quảng Ngãi</v>
          </cell>
          <cell r="C42">
            <v>151.5</v>
          </cell>
          <cell r="D42">
            <v>151.19999999999999</v>
          </cell>
          <cell r="E42">
            <v>150.80000000000001</v>
          </cell>
          <cell r="F42">
            <v>150.9</v>
          </cell>
          <cell r="G42">
            <v>170.8</v>
          </cell>
          <cell r="H42">
            <v>170.8</v>
          </cell>
          <cell r="I42">
            <v>170.7</v>
          </cell>
          <cell r="J42">
            <v>170.3</v>
          </cell>
        </row>
        <row r="43">
          <cell r="A43">
            <v>52</v>
          </cell>
          <cell r="B43" t="str">
            <v>Bình Định</v>
          </cell>
          <cell r="C43">
            <v>138.9</v>
          </cell>
          <cell r="D43">
            <v>137.6</v>
          </cell>
          <cell r="E43">
            <v>137.1</v>
          </cell>
          <cell r="F43">
            <v>136.69999999999999</v>
          </cell>
          <cell r="G43">
            <v>141.6</v>
          </cell>
          <cell r="H43">
            <v>141.1</v>
          </cell>
          <cell r="I43">
            <v>140.19999999999999</v>
          </cell>
          <cell r="J43">
            <v>139.5</v>
          </cell>
        </row>
        <row r="44">
          <cell r="A44">
            <v>54</v>
          </cell>
          <cell r="B44" t="str">
            <v>Phú Yên</v>
          </cell>
          <cell r="C44">
            <v>156.19999999999999</v>
          </cell>
          <cell r="D44">
            <v>156</v>
          </cell>
          <cell r="E44">
            <v>155.80000000000001</v>
          </cell>
          <cell r="F44">
            <v>155.69999999999999</v>
          </cell>
          <cell r="G44">
            <v>164.6</v>
          </cell>
          <cell r="H44">
            <v>164.5</v>
          </cell>
          <cell r="I44">
            <v>164.4</v>
          </cell>
          <cell r="J44">
            <v>164.3</v>
          </cell>
        </row>
        <row r="45">
          <cell r="A45">
            <v>56</v>
          </cell>
          <cell r="B45" t="str">
            <v>Khánh Hoà</v>
          </cell>
          <cell r="C45">
            <v>100.9</v>
          </cell>
          <cell r="D45">
            <v>100.7</v>
          </cell>
          <cell r="E45">
            <v>100.4</v>
          </cell>
          <cell r="F45">
            <v>100.2</v>
          </cell>
          <cell r="G45">
            <v>99</v>
          </cell>
          <cell r="H45">
            <v>99</v>
          </cell>
          <cell r="I45">
            <v>98.6</v>
          </cell>
          <cell r="J45">
            <v>98.2</v>
          </cell>
        </row>
        <row r="46">
          <cell r="A46">
            <v>58</v>
          </cell>
          <cell r="B46" t="str">
            <v>Ninh Thuận</v>
          </cell>
          <cell r="C46">
            <v>83.7</v>
          </cell>
          <cell r="D46">
            <v>83.6</v>
          </cell>
          <cell r="E46">
            <v>83.5</v>
          </cell>
          <cell r="F46">
            <v>82.5</v>
          </cell>
          <cell r="G46">
            <v>84.8</v>
          </cell>
          <cell r="H46">
            <v>84.4</v>
          </cell>
          <cell r="I46">
            <v>84.3</v>
          </cell>
          <cell r="J46">
            <v>84.2</v>
          </cell>
        </row>
        <row r="47">
          <cell r="A47">
            <v>60</v>
          </cell>
          <cell r="B47" t="str">
            <v>Bình Thuận</v>
          </cell>
          <cell r="C47">
            <v>361.8</v>
          </cell>
          <cell r="D47">
            <v>361.5</v>
          </cell>
          <cell r="E47">
            <v>361.4</v>
          </cell>
          <cell r="F47">
            <v>360.4</v>
          </cell>
          <cell r="G47">
            <v>356.9</v>
          </cell>
          <cell r="H47">
            <v>357.1</v>
          </cell>
          <cell r="I47">
            <v>356.8</v>
          </cell>
          <cell r="J47">
            <v>356.6</v>
          </cell>
        </row>
        <row r="48">
          <cell r="A48">
            <v>62</v>
          </cell>
          <cell r="B48" t="str">
            <v>Kon Tum</v>
          </cell>
          <cell r="C48">
            <v>264.5</v>
          </cell>
          <cell r="D48">
            <v>264.3</v>
          </cell>
          <cell r="E48">
            <v>265.8</v>
          </cell>
          <cell r="F48">
            <v>266.2</v>
          </cell>
          <cell r="G48">
            <v>298.8</v>
          </cell>
          <cell r="H48">
            <v>298</v>
          </cell>
          <cell r="I48">
            <v>297.5</v>
          </cell>
          <cell r="J48">
            <v>296.39999999999998</v>
          </cell>
        </row>
        <row r="49">
          <cell r="A49">
            <v>64</v>
          </cell>
          <cell r="B49" t="str">
            <v>Gia Lai</v>
          </cell>
          <cell r="C49">
            <v>801.4</v>
          </cell>
          <cell r="D49">
            <v>801.7</v>
          </cell>
          <cell r="E49">
            <v>801.4</v>
          </cell>
          <cell r="F49">
            <v>800.7</v>
          </cell>
          <cell r="G49">
            <v>845.1</v>
          </cell>
          <cell r="H49">
            <v>838.1</v>
          </cell>
          <cell r="I49">
            <v>837.6</v>
          </cell>
          <cell r="J49">
            <v>837.3</v>
          </cell>
        </row>
        <row r="50">
          <cell r="A50">
            <v>66</v>
          </cell>
          <cell r="B50" t="str">
            <v>Đắk Lắk</v>
          </cell>
          <cell r="C50">
            <v>627</v>
          </cell>
          <cell r="D50">
            <v>627.5</v>
          </cell>
          <cell r="E50">
            <v>627</v>
          </cell>
          <cell r="F50">
            <v>627</v>
          </cell>
          <cell r="G50">
            <v>655.8</v>
          </cell>
          <cell r="H50">
            <v>657.7</v>
          </cell>
          <cell r="I50">
            <v>660.2</v>
          </cell>
          <cell r="J50">
            <v>660.4</v>
          </cell>
        </row>
        <row r="51">
          <cell r="A51">
            <v>67</v>
          </cell>
          <cell r="B51" t="str">
            <v>Đắk Nông</v>
          </cell>
          <cell r="C51">
            <v>360</v>
          </cell>
          <cell r="D51">
            <v>360.9</v>
          </cell>
          <cell r="E51">
            <v>359.6</v>
          </cell>
          <cell r="F51">
            <v>366.4</v>
          </cell>
          <cell r="G51">
            <v>380.9</v>
          </cell>
          <cell r="H51">
            <v>380</v>
          </cell>
          <cell r="I51">
            <v>378.3</v>
          </cell>
          <cell r="J51">
            <v>377.5</v>
          </cell>
        </row>
        <row r="52">
          <cell r="A52">
            <v>68</v>
          </cell>
          <cell r="B52" t="str">
            <v>Lâm Đồng</v>
          </cell>
          <cell r="C52">
            <v>367.7</v>
          </cell>
          <cell r="D52">
            <v>367.6</v>
          </cell>
          <cell r="E52">
            <v>367.5</v>
          </cell>
          <cell r="F52">
            <v>367.4</v>
          </cell>
          <cell r="G52">
            <v>369.5</v>
          </cell>
          <cell r="H52">
            <v>369</v>
          </cell>
          <cell r="I52">
            <v>368.2</v>
          </cell>
          <cell r="J52">
            <v>368</v>
          </cell>
        </row>
        <row r="53">
          <cell r="A53">
            <v>70</v>
          </cell>
          <cell r="B53" t="str">
            <v>Bình Phước</v>
          </cell>
          <cell r="C53">
            <v>446.3</v>
          </cell>
          <cell r="D53">
            <v>446.2</v>
          </cell>
          <cell r="E53">
            <v>445.8</v>
          </cell>
          <cell r="F53">
            <v>445.3</v>
          </cell>
          <cell r="G53">
            <v>442.3</v>
          </cell>
          <cell r="H53">
            <v>279.3</v>
          </cell>
          <cell r="I53">
            <v>438.9</v>
          </cell>
          <cell r="J53">
            <v>437.1</v>
          </cell>
        </row>
        <row r="54">
          <cell r="A54">
            <v>72</v>
          </cell>
          <cell r="B54" t="str">
            <v>Tây Ninh</v>
          </cell>
          <cell r="C54">
            <v>271.2</v>
          </cell>
          <cell r="D54">
            <v>270.60000000000002</v>
          </cell>
          <cell r="E54">
            <v>270.60000000000002</v>
          </cell>
          <cell r="F54">
            <v>270.2</v>
          </cell>
          <cell r="G54">
            <v>265.8</v>
          </cell>
          <cell r="H54">
            <v>265.5</v>
          </cell>
          <cell r="I54">
            <v>264.8</v>
          </cell>
          <cell r="J54">
            <v>264.2</v>
          </cell>
        </row>
        <row r="55">
          <cell r="A55">
            <v>74</v>
          </cell>
          <cell r="B55" t="str">
            <v>Bình Dương</v>
          </cell>
          <cell r="C55">
            <v>195.2</v>
          </cell>
          <cell r="D55">
            <v>195.2</v>
          </cell>
          <cell r="E55">
            <v>194.9</v>
          </cell>
          <cell r="F55">
            <v>193.9</v>
          </cell>
          <cell r="G55">
            <v>191.4</v>
          </cell>
          <cell r="H55">
            <v>279.3</v>
          </cell>
          <cell r="I55">
            <v>190.2</v>
          </cell>
          <cell r="J55">
            <v>188.7</v>
          </cell>
        </row>
        <row r="56">
          <cell r="A56">
            <v>75</v>
          </cell>
          <cell r="B56" t="str">
            <v>Đồng Nai</v>
          </cell>
          <cell r="C56">
            <v>278.39999999999998</v>
          </cell>
          <cell r="D56">
            <v>277.8</v>
          </cell>
          <cell r="E56">
            <v>277.3</v>
          </cell>
          <cell r="F56">
            <v>276.8</v>
          </cell>
          <cell r="G56">
            <v>280.8</v>
          </cell>
          <cell r="H56">
            <v>279.3</v>
          </cell>
          <cell r="I56">
            <v>278.7</v>
          </cell>
          <cell r="J56">
            <v>278.39999999999998</v>
          </cell>
        </row>
        <row r="57">
          <cell r="A57">
            <v>77</v>
          </cell>
          <cell r="B57" t="str">
            <v>Bà Rịa-Vũng Tàu(***)</v>
          </cell>
          <cell r="C57">
            <v>105.5</v>
          </cell>
          <cell r="D57">
            <v>105.4</v>
          </cell>
          <cell r="E57">
            <v>105.1</v>
          </cell>
          <cell r="F57">
            <v>104.9</v>
          </cell>
          <cell r="G57">
            <v>103.1</v>
          </cell>
          <cell r="H57">
            <v>103.1</v>
          </cell>
          <cell r="I57">
            <v>102.6</v>
          </cell>
          <cell r="J57">
            <v>102.7</v>
          </cell>
        </row>
        <row r="58">
          <cell r="A58">
            <v>79</v>
          </cell>
          <cell r="B58" t="str">
            <v>TP Hồ Chí Minh</v>
          </cell>
          <cell r="C58">
            <v>66.8</v>
          </cell>
          <cell r="D58">
            <v>66.599999999999994</v>
          </cell>
          <cell r="E58">
            <v>66.099999999999994</v>
          </cell>
          <cell r="F58">
            <v>65.5</v>
          </cell>
          <cell r="G58">
            <v>64.2</v>
          </cell>
          <cell r="H58">
            <v>64.099999999999994</v>
          </cell>
          <cell r="I58">
            <v>64.099999999999994</v>
          </cell>
          <cell r="J58">
            <v>64</v>
          </cell>
        </row>
        <row r="59">
          <cell r="A59">
            <v>80</v>
          </cell>
          <cell r="B59" t="str">
            <v>Long An</v>
          </cell>
          <cell r="C59">
            <v>318.7</v>
          </cell>
          <cell r="D59">
            <v>318.5</v>
          </cell>
          <cell r="E59">
            <v>318.2</v>
          </cell>
          <cell r="F59">
            <v>317.3</v>
          </cell>
          <cell r="G59">
            <v>311.3</v>
          </cell>
          <cell r="H59">
            <v>311.10000000000002</v>
          </cell>
          <cell r="I59">
            <v>311.3</v>
          </cell>
          <cell r="J59">
            <v>311.10000000000002</v>
          </cell>
        </row>
        <row r="60">
          <cell r="A60">
            <v>82</v>
          </cell>
          <cell r="B60" t="str">
            <v>Tiền Giang</v>
          </cell>
          <cell r="C60">
            <v>179.8</v>
          </cell>
          <cell r="D60">
            <v>179.7</v>
          </cell>
          <cell r="E60">
            <v>179.5</v>
          </cell>
          <cell r="F60">
            <v>179.3</v>
          </cell>
          <cell r="G60">
            <v>178</v>
          </cell>
          <cell r="H60">
            <v>177.9</v>
          </cell>
          <cell r="I60">
            <v>178</v>
          </cell>
          <cell r="J60">
            <v>177.9</v>
          </cell>
        </row>
        <row r="61">
          <cell r="A61">
            <v>83</v>
          </cell>
          <cell r="B61" t="str">
            <v>Bến Tre</v>
          </cell>
          <cell r="C61">
            <v>140.69999999999999</v>
          </cell>
          <cell r="D61">
            <v>140.6</v>
          </cell>
          <cell r="E61">
            <v>140.5</v>
          </cell>
          <cell r="F61">
            <v>140.4</v>
          </cell>
          <cell r="G61">
            <v>135.5</v>
          </cell>
          <cell r="H61">
            <v>135.5</v>
          </cell>
          <cell r="I61">
            <v>135.1</v>
          </cell>
          <cell r="J61">
            <v>135.4</v>
          </cell>
        </row>
        <row r="62">
          <cell r="A62">
            <v>84</v>
          </cell>
          <cell r="B62" t="str">
            <v>Trà Vinh</v>
          </cell>
          <cell r="C62">
            <v>147.9</v>
          </cell>
          <cell r="D62">
            <v>147.9</v>
          </cell>
          <cell r="E62">
            <v>147.80000000000001</v>
          </cell>
          <cell r="F62">
            <v>147.69999999999999</v>
          </cell>
          <cell r="G62">
            <v>141.4</v>
          </cell>
          <cell r="H62">
            <v>141.30000000000001</v>
          </cell>
          <cell r="I62">
            <v>141.19999999999999</v>
          </cell>
          <cell r="J62">
            <v>141.1</v>
          </cell>
        </row>
        <row r="63">
          <cell r="A63">
            <v>86</v>
          </cell>
          <cell r="B63" t="str">
            <v>Vĩnh Long</v>
          </cell>
          <cell r="C63">
            <v>119.9</v>
          </cell>
          <cell r="D63">
            <v>119.8</v>
          </cell>
          <cell r="E63">
            <v>119.7</v>
          </cell>
          <cell r="F63">
            <v>119.6</v>
          </cell>
          <cell r="G63">
            <v>118.8</v>
          </cell>
          <cell r="H63">
            <v>118.7</v>
          </cell>
          <cell r="I63">
            <v>118.6</v>
          </cell>
          <cell r="J63">
            <v>118.4</v>
          </cell>
        </row>
        <row r="64">
          <cell r="A64">
            <v>87</v>
          </cell>
          <cell r="B64" t="str">
            <v>Đồng Tháp</v>
          </cell>
          <cell r="C64">
            <v>260.60000000000002</v>
          </cell>
          <cell r="D64">
            <v>260.60000000000002</v>
          </cell>
          <cell r="E64">
            <v>260.3</v>
          </cell>
          <cell r="F64">
            <v>260.2</v>
          </cell>
          <cell r="G64">
            <v>255</v>
          </cell>
          <cell r="H64">
            <v>255</v>
          </cell>
          <cell r="I64">
            <v>254.7</v>
          </cell>
          <cell r="J64">
            <v>254.5</v>
          </cell>
        </row>
        <row r="65">
          <cell r="A65">
            <v>89</v>
          </cell>
          <cell r="B65" t="str">
            <v>An Giang</v>
          </cell>
          <cell r="C65">
            <v>282.8</v>
          </cell>
          <cell r="D65">
            <v>282.7</v>
          </cell>
          <cell r="E65">
            <v>282.7</v>
          </cell>
          <cell r="F65">
            <v>282.60000000000002</v>
          </cell>
          <cell r="G65">
            <v>279.2</v>
          </cell>
          <cell r="H65">
            <v>279.10000000000002</v>
          </cell>
          <cell r="I65">
            <v>278.39999999999998</v>
          </cell>
          <cell r="J65">
            <v>277.89999999999998</v>
          </cell>
        </row>
        <row r="66">
          <cell r="A66">
            <v>91</v>
          </cell>
          <cell r="B66" t="str">
            <v>Kiên Giang</v>
          </cell>
          <cell r="C66">
            <v>463.1</v>
          </cell>
          <cell r="D66">
            <v>463</v>
          </cell>
          <cell r="E66">
            <v>463</v>
          </cell>
          <cell r="F66">
            <v>463</v>
          </cell>
          <cell r="G66">
            <v>456.2</v>
          </cell>
          <cell r="H66">
            <v>456.2</v>
          </cell>
          <cell r="I66">
            <v>456.1</v>
          </cell>
          <cell r="J66">
            <v>456</v>
          </cell>
        </row>
        <row r="67">
          <cell r="A67">
            <v>92</v>
          </cell>
          <cell r="B67" t="str">
            <v>Cần Thơ</v>
          </cell>
          <cell r="C67">
            <v>112.3</v>
          </cell>
          <cell r="D67">
            <v>112.2</v>
          </cell>
          <cell r="E67">
            <v>112.3</v>
          </cell>
          <cell r="F67">
            <v>112.2</v>
          </cell>
          <cell r="G67">
            <v>111.4</v>
          </cell>
          <cell r="H67">
            <v>111.4</v>
          </cell>
          <cell r="I67">
            <v>111.3</v>
          </cell>
          <cell r="J67">
            <v>110.8</v>
          </cell>
        </row>
        <row r="68">
          <cell r="A68">
            <v>93</v>
          </cell>
          <cell r="B68" t="str">
            <v>Hậu Giang</v>
          </cell>
          <cell r="C68">
            <v>136</v>
          </cell>
          <cell r="D68">
            <v>135.9</v>
          </cell>
          <cell r="E68">
            <v>135.9</v>
          </cell>
          <cell r="F68">
            <v>135.80000000000001</v>
          </cell>
          <cell r="G68">
            <v>136</v>
          </cell>
          <cell r="H68">
            <v>136</v>
          </cell>
          <cell r="I68">
            <v>135.9</v>
          </cell>
          <cell r="J68">
            <v>135.1</v>
          </cell>
        </row>
        <row r="69">
          <cell r="A69">
            <v>94</v>
          </cell>
          <cell r="B69" t="str">
            <v>Sóc Trăng</v>
          </cell>
          <cell r="C69">
            <v>213.4</v>
          </cell>
          <cell r="D69">
            <v>213.3</v>
          </cell>
          <cell r="E69">
            <v>213.2</v>
          </cell>
          <cell r="F69">
            <v>212.6</v>
          </cell>
          <cell r="G69">
            <v>212.3</v>
          </cell>
          <cell r="H69">
            <v>212.1</v>
          </cell>
          <cell r="I69">
            <v>212</v>
          </cell>
          <cell r="J69">
            <v>211.5</v>
          </cell>
        </row>
        <row r="70">
          <cell r="A70">
            <v>95</v>
          </cell>
          <cell r="B70" t="str">
            <v>Bạc Liêu</v>
          </cell>
          <cell r="C70">
            <v>101.8</v>
          </cell>
          <cell r="D70">
            <v>101.8</v>
          </cell>
          <cell r="E70">
            <v>101.8</v>
          </cell>
          <cell r="F70">
            <v>101.8</v>
          </cell>
          <cell r="G70">
            <v>100.9</v>
          </cell>
          <cell r="H70">
            <v>100.9</v>
          </cell>
          <cell r="I70">
            <v>100.8</v>
          </cell>
          <cell r="J70">
            <v>100.7</v>
          </cell>
        </row>
        <row r="71">
          <cell r="A71">
            <v>96</v>
          </cell>
          <cell r="B71" t="str">
            <v>Cà Mau</v>
          </cell>
          <cell r="C71">
            <v>146.9</v>
          </cell>
          <cell r="D71">
            <v>146.9</v>
          </cell>
          <cell r="E71">
            <v>143.19999999999999</v>
          </cell>
          <cell r="F71">
            <v>143.1</v>
          </cell>
          <cell r="G71">
            <v>139.30000000000001</v>
          </cell>
          <cell r="H71">
            <v>139.19999999999999</v>
          </cell>
          <cell r="I71">
            <v>139.1</v>
          </cell>
          <cell r="J71">
            <v>138.9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96.29</v>
          </cell>
          <cell r="D9">
            <v>104.14</v>
          </cell>
          <cell r="E9">
            <v>111.6</v>
          </cell>
          <cell r="F9">
            <v>120.32</v>
          </cell>
          <cell r="G9">
            <v>123.37</v>
          </cell>
          <cell r="H9">
            <v>128.75</v>
          </cell>
        </row>
        <row r="10">
          <cell r="A10" t="str">
            <v>02</v>
          </cell>
          <cell r="B10" t="str">
            <v>Hà Giang</v>
          </cell>
          <cell r="C10">
            <v>21.94</v>
          </cell>
          <cell r="D10">
            <v>23.96</v>
          </cell>
          <cell r="E10">
            <v>26.07</v>
          </cell>
          <cell r="F10">
            <v>28.19</v>
          </cell>
          <cell r="G10">
            <v>29.8</v>
          </cell>
          <cell r="H10">
            <v>30.76</v>
          </cell>
        </row>
        <row r="11">
          <cell r="A11" t="str">
            <v>04</v>
          </cell>
          <cell r="B11" t="str">
            <v>Cao Bằng</v>
          </cell>
          <cell r="C11">
            <v>25.11</v>
          </cell>
          <cell r="D11">
            <v>27.54</v>
          </cell>
          <cell r="E11">
            <v>30.63</v>
          </cell>
          <cell r="F11">
            <v>32.89</v>
          </cell>
          <cell r="G11">
            <v>35.81</v>
          </cell>
          <cell r="H11">
            <v>36.89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</row>
        <row r="13">
          <cell r="A13">
            <v>8</v>
          </cell>
          <cell r="B13" t="str">
            <v>Tuyên Quang</v>
          </cell>
          <cell r="C13"/>
          <cell r="D13"/>
          <cell r="E13"/>
          <cell r="F13"/>
          <cell r="G13"/>
          <cell r="H13"/>
        </row>
        <row r="14">
          <cell r="A14">
            <v>10</v>
          </cell>
          <cell r="B14" t="str">
            <v>Lào Cai</v>
          </cell>
          <cell r="C14">
            <v>50.46</v>
          </cell>
          <cell r="D14">
            <v>56</v>
          </cell>
          <cell r="E14">
            <v>62.17</v>
          </cell>
          <cell r="F14">
            <v>68.11</v>
          </cell>
          <cell r="G14">
            <v>71.98</v>
          </cell>
          <cell r="H14">
            <v>76.27</v>
          </cell>
        </row>
        <row r="15">
          <cell r="A15">
            <v>11</v>
          </cell>
          <cell r="B15" t="str">
            <v>Điện Biên</v>
          </cell>
          <cell r="C15">
            <v>26.04</v>
          </cell>
          <cell r="D15">
            <v>28.3</v>
          </cell>
          <cell r="E15">
            <v>30.65</v>
          </cell>
          <cell r="F15">
            <v>32.14</v>
          </cell>
          <cell r="G15">
            <v>33.090000000000003</v>
          </cell>
          <cell r="H15">
            <v>35.409999999999997</v>
          </cell>
        </row>
        <row r="16">
          <cell r="A16">
            <v>12</v>
          </cell>
          <cell r="B16" t="str">
            <v>Lai Châu</v>
          </cell>
          <cell r="C16">
            <v>32.520000000000003</v>
          </cell>
          <cell r="D16">
            <v>38.24</v>
          </cell>
          <cell r="E16">
            <v>40.5</v>
          </cell>
          <cell r="F16">
            <v>38.86</v>
          </cell>
          <cell r="G16">
            <v>43.33</v>
          </cell>
          <cell r="H16">
            <v>44.32</v>
          </cell>
        </row>
        <row r="17">
          <cell r="A17">
            <v>14</v>
          </cell>
          <cell r="B17" t="str">
            <v>Sơn La</v>
          </cell>
          <cell r="C17">
            <v>33.42</v>
          </cell>
          <cell r="D17">
            <v>37.229999999999997</v>
          </cell>
          <cell r="E17">
            <v>40.369999999999997</v>
          </cell>
          <cell r="F17">
            <v>39.68</v>
          </cell>
          <cell r="G17">
            <v>43.32</v>
          </cell>
          <cell r="H17">
            <v>44.33</v>
          </cell>
        </row>
        <row r="18">
          <cell r="A18">
            <v>15</v>
          </cell>
          <cell r="B18" t="str">
            <v>Yên Bái</v>
          </cell>
          <cell r="C18">
            <v>28.16</v>
          </cell>
          <cell r="D18">
            <v>30.87</v>
          </cell>
          <cell r="E18">
            <v>33.869999999999997</v>
          </cell>
          <cell r="F18">
            <v>37.090000000000003</v>
          </cell>
          <cell r="G18">
            <v>39.869999999999997</v>
          </cell>
          <cell r="H18">
            <v>42.42</v>
          </cell>
        </row>
        <row r="19">
          <cell r="A19">
            <v>17</v>
          </cell>
          <cell r="B19" t="str">
            <v>Hoà Bình</v>
          </cell>
          <cell r="C19">
            <v>44.15</v>
          </cell>
          <cell r="D19">
            <v>48.84</v>
          </cell>
          <cell r="E19">
            <v>54.42</v>
          </cell>
          <cell r="F19">
            <v>54.61</v>
          </cell>
          <cell r="G19">
            <v>57.72</v>
          </cell>
          <cell r="H19">
            <v>58.77</v>
          </cell>
        </row>
        <row r="20">
          <cell r="A20">
            <v>19</v>
          </cell>
          <cell r="B20" t="str">
            <v>Thái Nguyên</v>
          </cell>
          <cell r="C20">
            <v>67.33</v>
          </cell>
          <cell r="D20">
            <v>76.760000000000005</v>
          </cell>
          <cell r="E20">
            <v>84.75</v>
          </cell>
          <cell r="F20">
            <v>90.89</v>
          </cell>
          <cell r="G20">
            <v>94.33</v>
          </cell>
          <cell r="H20">
            <v>101</v>
          </cell>
        </row>
        <row r="21">
          <cell r="A21">
            <v>20</v>
          </cell>
          <cell r="B21" t="str">
            <v>Lạng Sơn</v>
          </cell>
          <cell r="C21">
            <v>31.92</v>
          </cell>
          <cell r="D21">
            <v>34.28</v>
          </cell>
          <cell r="E21">
            <v>38.25</v>
          </cell>
          <cell r="F21">
            <v>41.9</v>
          </cell>
          <cell r="G21">
            <v>44.23</v>
          </cell>
          <cell r="H21">
            <v>46.99</v>
          </cell>
        </row>
        <row r="22">
          <cell r="A22">
            <v>22</v>
          </cell>
          <cell r="B22" t="str">
            <v>Quảng Ninh</v>
          </cell>
          <cell r="C22">
            <v>100.88</v>
          </cell>
          <cell r="D22">
            <v>111.32</v>
          </cell>
          <cell r="E22">
            <v>126.81</v>
          </cell>
          <cell r="F22">
            <v>143.31</v>
          </cell>
          <cell r="G22">
            <v>155.6</v>
          </cell>
          <cell r="H22">
            <v>169.94</v>
          </cell>
        </row>
        <row r="23">
          <cell r="A23">
            <v>24</v>
          </cell>
          <cell r="B23" t="str">
            <v>Bắc Giang</v>
          </cell>
          <cell r="C23">
            <v>39.409999999999997</v>
          </cell>
          <cell r="D23">
            <v>43.75</v>
          </cell>
          <cell r="E23">
            <v>50.85</v>
          </cell>
          <cell r="F23">
            <v>57.72</v>
          </cell>
          <cell r="G23">
            <v>65.64</v>
          </cell>
          <cell r="H23">
            <v>69.290000000000006</v>
          </cell>
        </row>
        <row r="24">
          <cell r="A24">
            <v>25</v>
          </cell>
          <cell r="B24" t="str">
            <v>Phú Thọ</v>
          </cell>
          <cell r="C24">
            <v>35.1</v>
          </cell>
          <cell r="D24">
            <v>37.86</v>
          </cell>
          <cell r="E24">
            <v>42.53</v>
          </cell>
          <cell r="F24">
            <v>47.07</v>
          </cell>
          <cell r="G24">
            <v>50.74</v>
          </cell>
          <cell r="H24">
            <v>53.7</v>
          </cell>
        </row>
        <row r="25">
          <cell r="A25">
            <v>26</v>
          </cell>
          <cell r="B25" t="str">
            <v>Vĩnh Phúc</v>
          </cell>
          <cell r="C25">
            <v>77.989999999999995</v>
          </cell>
          <cell r="D25">
            <v>84.88</v>
          </cell>
          <cell r="E25">
            <v>94.54</v>
          </cell>
          <cell r="F25">
            <v>102.47</v>
          </cell>
          <cell r="G25">
            <v>105.88</v>
          </cell>
          <cell r="H25">
            <v>115.28</v>
          </cell>
        </row>
        <row r="26">
          <cell r="A26">
            <v>27</v>
          </cell>
          <cell r="B26" t="str">
            <v>Bắc Ninh</v>
          </cell>
          <cell r="C26">
            <v>109.05</v>
          </cell>
          <cell r="D26">
            <v>129.83000000000001</v>
          </cell>
          <cell r="E26">
            <v>144.94999999999999</v>
          </cell>
          <cell r="F26">
            <v>144.99</v>
          </cell>
          <cell r="G26">
            <v>147.26</v>
          </cell>
          <cell r="H26">
            <v>155.62</v>
          </cell>
        </row>
        <row r="27">
          <cell r="A27">
            <v>30</v>
          </cell>
          <cell r="B27" t="str">
            <v>Hải Dương</v>
          </cell>
          <cell r="C27">
            <v>48.81</v>
          </cell>
          <cell r="D27">
            <v>53.93</v>
          </cell>
          <cell r="E27">
            <v>61.21</v>
          </cell>
          <cell r="F27">
            <v>66.78</v>
          </cell>
          <cell r="G27">
            <v>68.44</v>
          </cell>
          <cell r="H27">
            <v>76.739999999999995</v>
          </cell>
        </row>
        <row r="28">
          <cell r="A28">
            <v>31</v>
          </cell>
          <cell r="B28" t="str">
            <v>Hải Phòng</v>
          </cell>
          <cell r="C28">
            <v>75.349999999999994</v>
          </cell>
          <cell r="D28">
            <v>87.03</v>
          </cell>
          <cell r="E28">
            <v>104.42</v>
          </cell>
          <cell r="F28">
            <v>122.17</v>
          </cell>
          <cell r="G28">
            <v>133.94</v>
          </cell>
          <cell r="H28">
            <v>152.05000000000001</v>
          </cell>
        </row>
        <row r="29">
          <cell r="A29">
            <v>33</v>
          </cell>
          <cell r="B29" t="str">
            <v>Hưng Yên</v>
          </cell>
          <cell r="C29">
            <v>53.76</v>
          </cell>
          <cell r="D29">
            <v>59.28</v>
          </cell>
          <cell r="E29">
            <v>66.900000000000006</v>
          </cell>
          <cell r="F29">
            <v>73.709999999999994</v>
          </cell>
          <cell r="G29">
            <v>79.040000000000006</v>
          </cell>
          <cell r="H29">
            <v>88.08</v>
          </cell>
        </row>
        <row r="30">
          <cell r="A30">
            <v>34</v>
          </cell>
          <cell r="B30" t="str">
            <v>Thái Bình</v>
          </cell>
          <cell r="C30">
            <v>30.52</v>
          </cell>
          <cell r="D30">
            <v>34.72</v>
          </cell>
          <cell r="E30">
            <v>39.979999999999997</v>
          </cell>
          <cell r="F30">
            <v>45.22</v>
          </cell>
          <cell r="G30">
            <v>48.56</v>
          </cell>
          <cell r="H30">
            <v>52.61</v>
          </cell>
        </row>
        <row r="31">
          <cell r="A31">
            <v>35</v>
          </cell>
          <cell r="B31" t="str">
            <v>Hà Nam</v>
          </cell>
          <cell r="C31">
            <v>43.6</v>
          </cell>
          <cell r="D31">
            <v>48.84</v>
          </cell>
          <cell r="E31">
            <v>56.31</v>
          </cell>
          <cell r="F31">
            <v>64.03</v>
          </cell>
          <cell r="G31">
            <v>69.53</v>
          </cell>
          <cell r="H31">
            <v>76.150000000000006</v>
          </cell>
        </row>
        <row r="32">
          <cell r="A32">
            <v>36</v>
          </cell>
          <cell r="B32" t="str">
            <v>Nam Định</v>
          </cell>
          <cell r="C32">
            <v>28.33</v>
          </cell>
          <cell r="D32">
            <v>30.9</v>
          </cell>
          <cell r="E32">
            <v>34.92</v>
          </cell>
          <cell r="F32">
            <v>39.04</v>
          </cell>
          <cell r="G32">
            <v>42.69</v>
          </cell>
          <cell r="H32">
            <v>45.11</v>
          </cell>
        </row>
        <row r="33">
          <cell r="A33">
            <v>37</v>
          </cell>
          <cell r="B33" t="str">
            <v>Ninh Bình</v>
          </cell>
          <cell r="C33">
            <v>43.56</v>
          </cell>
          <cell r="D33">
            <v>47.82</v>
          </cell>
          <cell r="E33">
            <v>54.31</v>
          </cell>
          <cell r="F33">
            <v>62.77</v>
          </cell>
          <cell r="G33">
            <v>67.53</v>
          </cell>
          <cell r="H33">
            <v>71.760000000000005</v>
          </cell>
        </row>
        <row r="34">
          <cell r="A34">
            <v>38</v>
          </cell>
          <cell r="B34" t="str">
            <v>Thanh Hoá</v>
          </cell>
          <cell r="C34">
            <v>30.74</v>
          </cell>
          <cell r="D34">
            <v>33.82</v>
          </cell>
          <cell r="E34">
            <v>40.26</v>
          </cell>
          <cell r="F34">
            <v>48.33</v>
          </cell>
          <cell r="G34">
            <v>51.26</v>
          </cell>
          <cell r="H34">
            <v>57.63</v>
          </cell>
        </row>
        <row r="35">
          <cell r="A35">
            <v>40</v>
          </cell>
          <cell r="B35" t="str">
            <v>Nghệ An</v>
          </cell>
          <cell r="C35">
            <v>30.3</v>
          </cell>
          <cell r="D35">
            <v>33.08</v>
          </cell>
          <cell r="E35">
            <v>36.520000000000003</v>
          </cell>
          <cell r="F35">
            <v>39.85</v>
          </cell>
          <cell r="G35">
            <v>43.06</v>
          </cell>
          <cell r="H35">
            <v>45.96</v>
          </cell>
        </row>
        <row r="36">
          <cell r="A36">
            <v>42</v>
          </cell>
          <cell r="B36" t="str">
            <v>Hà Tĩnh</v>
          </cell>
          <cell r="C36">
            <v>39.67</v>
          </cell>
          <cell r="D36">
            <v>44.76</v>
          </cell>
          <cell r="E36">
            <v>54.73</v>
          </cell>
          <cell r="F36">
            <v>60.54</v>
          </cell>
          <cell r="G36">
            <v>63.55</v>
          </cell>
          <cell r="H36">
            <v>66.7</v>
          </cell>
        </row>
        <row r="37">
          <cell r="A37">
            <v>44</v>
          </cell>
          <cell r="B37" t="str">
            <v>Quảng Bình</v>
          </cell>
          <cell r="C37">
            <v>33</v>
          </cell>
          <cell r="D37">
            <v>35.71</v>
          </cell>
          <cell r="E37">
            <v>39.72</v>
          </cell>
          <cell r="F37">
            <v>43.75</v>
          </cell>
          <cell r="G37">
            <v>46.32</v>
          </cell>
          <cell r="H37">
            <v>49.18</v>
          </cell>
        </row>
        <row r="38">
          <cell r="A38">
            <v>45</v>
          </cell>
          <cell r="B38" t="str">
            <v>Quảng Trị</v>
          </cell>
          <cell r="C38">
            <v>37.520000000000003</v>
          </cell>
          <cell r="D38">
            <v>41.03</v>
          </cell>
          <cell r="E38">
            <v>45.49</v>
          </cell>
          <cell r="F38">
            <v>50.34</v>
          </cell>
          <cell r="G38">
            <v>52.84</v>
          </cell>
          <cell r="H38">
            <v>56.5</v>
          </cell>
        </row>
        <row r="39">
          <cell r="A39">
            <v>46</v>
          </cell>
          <cell r="B39" t="str">
            <v>Thừa Thiên Huế</v>
          </cell>
          <cell r="C39">
            <v>34.119999999999997</v>
          </cell>
          <cell r="D39">
            <v>38.36</v>
          </cell>
          <cell r="E39">
            <v>42.54</v>
          </cell>
          <cell r="F39">
            <v>46.81</v>
          </cell>
          <cell r="G39">
            <v>48.56</v>
          </cell>
          <cell r="H39">
            <v>50.98</v>
          </cell>
        </row>
        <row r="40">
          <cell r="A40">
            <v>48</v>
          </cell>
          <cell r="B40" t="str">
            <v>Đà Nẵng</v>
          </cell>
          <cell r="C40">
            <v>74.48</v>
          </cell>
          <cell r="D40">
            <v>81.97</v>
          </cell>
          <cell r="E40">
            <v>91</v>
          </cell>
          <cell r="F40">
            <v>97.44</v>
          </cell>
          <cell r="G40">
            <v>88.85</v>
          </cell>
          <cell r="H40">
            <v>89.75</v>
          </cell>
        </row>
        <row r="41">
          <cell r="A41">
            <v>49</v>
          </cell>
          <cell r="B41" t="str">
            <v>Quảng Nam</v>
          </cell>
          <cell r="C41">
            <v>50.06</v>
          </cell>
          <cell r="D41">
            <v>54.41</v>
          </cell>
          <cell r="E41">
            <v>61.55</v>
          </cell>
          <cell r="F41">
            <v>66.05</v>
          </cell>
          <cell r="G41">
            <v>65.41</v>
          </cell>
          <cell r="H41">
            <v>68.02</v>
          </cell>
        </row>
        <row r="42">
          <cell r="A42">
            <v>51</v>
          </cell>
          <cell r="B42" t="str">
            <v>Quảng Ngãi</v>
          </cell>
          <cell r="C42">
            <v>51.96</v>
          </cell>
          <cell r="D42">
            <v>56.7</v>
          </cell>
          <cell r="E42">
            <v>67.73</v>
          </cell>
          <cell r="F42">
            <v>70.53</v>
          </cell>
          <cell r="G42">
            <v>69.48</v>
          </cell>
          <cell r="H42">
            <v>80.02</v>
          </cell>
        </row>
        <row r="43">
          <cell r="A43">
            <v>52</v>
          </cell>
          <cell r="B43" t="str">
            <v>Bình Định</v>
          </cell>
          <cell r="C43">
            <v>41.13</v>
          </cell>
          <cell r="D43">
            <v>45</v>
          </cell>
          <cell r="E43">
            <v>50.25</v>
          </cell>
          <cell r="F43">
            <v>55.67</v>
          </cell>
          <cell r="G43">
            <v>60.08</v>
          </cell>
          <cell r="H43">
            <v>63.22</v>
          </cell>
        </row>
        <row r="44">
          <cell r="A44">
            <v>54</v>
          </cell>
          <cell r="B44" t="str">
            <v>Phú Yên</v>
          </cell>
          <cell r="C44">
            <v>36.18</v>
          </cell>
          <cell r="D44">
            <v>40.07</v>
          </cell>
          <cell r="E44">
            <v>44.3</v>
          </cell>
          <cell r="F44">
            <v>48.63</v>
          </cell>
          <cell r="G44">
            <v>50.49</v>
          </cell>
          <cell r="H44">
            <v>52.2</v>
          </cell>
        </row>
        <row r="45">
          <cell r="A45">
            <v>56</v>
          </cell>
          <cell r="B45" t="str">
            <v>Khánh Hoà</v>
          </cell>
          <cell r="C45">
            <v>51.82</v>
          </cell>
          <cell r="D45">
            <v>57.86</v>
          </cell>
          <cell r="E45">
            <v>63.89</v>
          </cell>
          <cell r="F45">
            <v>70.36</v>
          </cell>
          <cell r="G45">
            <v>64.37</v>
          </cell>
          <cell r="H45">
            <v>62.68</v>
          </cell>
        </row>
        <row r="46">
          <cell r="A46">
            <v>58</v>
          </cell>
          <cell r="B46" t="str">
            <v>Ninh Thuận</v>
          </cell>
          <cell r="C46">
            <v>34.69</v>
          </cell>
          <cell r="D46">
            <v>39.26</v>
          </cell>
          <cell r="E46">
            <v>43.66</v>
          </cell>
          <cell r="F46">
            <v>52.7</v>
          </cell>
          <cell r="G46">
            <v>59.11</v>
          </cell>
          <cell r="H46">
            <v>69.680000000000007</v>
          </cell>
        </row>
        <row r="47">
          <cell r="A47">
            <v>60</v>
          </cell>
          <cell r="B47" t="str">
            <v>Bình Thuận</v>
          </cell>
          <cell r="C47">
            <v>43.18</v>
          </cell>
          <cell r="D47">
            <v>47.9</v>
          </cell>
          <cell r="E47">
            <v>53.39</v>
          </cell>
          <cell r="F47">
            <v>64.239999999999995</v>
          </cell>
          <cell r="G47">
            <v>69.23</v>
          </cell>
          <cell r="H47">
            <v>70.77</v>
          </cell>
        </row>
        <row r="48">
          <cell r="A48">
            <v>62</v>
          </cell>
          <cell r="B48" t="str">
            <v>Kon Tum</v>
          </cell>
          <cell r="C48">
            <v>32.19</v>
          </cell>
          <cell r="D48">
            <v>35.51</v>
          </cell>
          <cell r="E48">
            <v>37.81</v>
          </cell>
          <cell r="F48">
            <v>40.33</v>
          </cell>
          <cell r="G48">
            <v>43.01</v>
          </cell>
          <cell r="H48">
            <v>46.78</v>
          </cell>
        </row>
        <row r="49">
          <cell r="A49">
            <v>64</v>
          </cell>
          <cell r="B49" t="str">
            <v>Gia Lai</v>
          </cell>
          <cell r="C49">
            <v>35.340000000000003</v>
          </cell>
          <cell r="D49">
            <v>38.380000000000003</v>
          </cell>
          <cell r="E49">
            <v>39.35</v>
          </cell>
          <cell r="F49">
            <v>40.25</v>
          </cell>
          <cell r="G49">
            <v>42.58</v>
          </cell>
          <cell r="H49">
            <v>48.44</v>
          </cell>
        </row>
        <row r="50">
          <cell r="A50">
            <v>66</v>
          </cell>
          <cell r="B50" t="str">
            <v>Đắk Lắk</v>
          </cell>
          <cell r="C50">
            <v>35.4</v>
          </cell>
          <cell r="D50">
            <v>38.18</v>
          </cell>
          <cell r="E50">
            <v>39.14</v>
          </cell>
          <cell r="F50">
            <v>41.67</v>
          </cell>
          <cell r="G50">
            <v>46.09</v>
          </cell>
          <cell r="H50">
            <v>49.52</v>
          </cell>
        </row>
        <row r="51">
          <cell r="A51">
            <v>67</v>
          </cell>
          <cell r="B51" t="str">
            <v>Đắk Nông</v>
          </cell>
          <cell r="C51">
            <v>41.28</v>
          </cell>
          <cell r="D51">
            <v>44.17</v>
          </cell>
          <cell r="E51">
            <v>44.01</v>
          </cell>
          <cell r="F51">
            <v>45.47</v>
          </cell>
          <cell r="G51">
            <v>48.14</v>
          </cell>
          <cell r="H51">
            <v>52.83</v>
          </cell>
        </row>
        <row r="52">
          <cell r="A52">
            <v>68</v>
          </cell>
          <cell r="B52" t="str">
            <v>Lâm Đồng</v>
          </cell>
          <cell r="C52">
            <v>46.75</v>
          </cell>
          <cell r="D52">
            <v>52.93</v>
          </cell>
          <cell r="E52">
            <v>56.05</v>
          </cell>
          <cell r="F52">
            <v>60.5</v>
          </cell>
          <cell r="G52">
            <v>62.91</v>
          </cell>
          <cell r="H52">
            <v>66.61</v>
          </cell>
        </row>
        <row r="53">
          <cell r="A53">
            <v>70</v>
          </cell>
          <cell r="B53" t="str">
            <v>Bình Phước</v>
          </cell>
          <cell r="C53">
            <v>45.06</v>
          </cell>
          <cell r="D53">
            <v>51.99</v>
          </cell>
          <cell r="E53">
            <v>56.08</v>
          </cell>
          <cell r="F53">
            <v>62.61</v>
          </cell>
          <cell r="G53">
            <v>67.73</v>
          </cell>
          <cell r="H53">
            <v>75.59</v>
          </cell>
        </row>
        <row r="54">
          <cell r="A54">
            <v>72</v>
          </cell>
          <cell r="B54" t="str">
            <v>Tây Ninh</v>
          </cell>
          <cell r="C54">
            <v>50</v>
          </cell>
          <cell r="D54">
            <v>56.72</v>
          </cell>
          <cell r="E54">
            <v>62.36</v>
          </cell>
          <cell r="F54">
            <v>70.59</v>
          </cell>
          <cell r="G54">
            <v>74.02</v>
          </cell>
          <cell r="H54">
            <v>76.33</v>
          </cell>
        </row>
        <row r="55">
          <cell r="A55">
            <v>74</v>
          </cell>
          <cell r="B55" t="str">
            <v>Bình Dương</v>
          </cell>
          <cell r="C55">
            <v>124.23</v>
          </cell>
          <cell r="D55">
            <v>131.43</v>
          </cell>
          <cell r="E55">
            <v>137.66999999999999</v>
          </cell>
          <cell r="F55">
            <v>147.38</v>
          </cell>
          <cell r="G55">
            <v>150.47999999999999</v>
          </cell>
          <cell r="H55">
            <v>158.86000000000001</v>
          </cell>
        </row>
        <row r="56">
          <cell r="A56">
            <v>75</v>
          </cell>
          <cell r="B56" t="str">
            <v>Đồng Nai</v>
          </cell>
          <cell r="C56">
            <v>86.58</v>
          </cell>
          <cell r="D56">
            <v>93.86</v>
          </cell>
          <cell r="E56">
            <v>103.08</v>
          </cell>
          <cell r="F56">
            <v>110.68</v>
          </cell>
          <cell r="G56">
            <v>115.13</v>
          </cell>
          <cell r="H56">
            <v>121.25</v>
          </cell>
        </row>
        <row r="57">
          <cell r="A57">
            <v>77</v>
          </cell>
          <cell r="B57" t="str">
            <v>Bà Rịa-Vũng Tàu(***)</v>
          </cell>
          <cell r="C57">
            <v>241.54</v>
          </cell>
          <cell r="D57">
            <v>263.08</v>
          </cell>
          <cell r="E57">
            <v>309.62</v>
          </cell>
          <cell r="F57">
            <v>300.38</v>
          </cell>
          <cell r="G57">
            <v>252.74</v>
          </cell>
          <cell r="H57">
            <v>269.57</v>
          </cell>
        </row>
        <row r="58">
          <cell r="A58">
            <v>79</v>
          </cell>
          <cell r="B58" t="str">
            <v>TP Hồ Chí Minh</v>
          </cell>
          <cell r="C58">
            <v>118.59</v>
          </cell>
          <cell r="D58">
            <v>128.86000000000001</v>
          </cell>
          <cell r="E58">
            <v>138.76</v>
          </cell>
          <cell r="F58">
            <v>148.66</v>
          </cell>
          <cell r="G58">
            <v>148.63</v>
          </cell>
          <cell r="H58">
            <v>144.38</v>
          </cell>
        </row>
        <row r="59">
          <cell r="A59">
            <v>80</v>
          </cell>
          <cell r="B59" t="str">
            <v>Long An</v>
          </cell>
          <cell r="C59">
            <v>50.25</v>
          </cell>
          <cell r="D59">
            <v>57.31</v>
          </cell>
          <cell r="E59">
            <v>65.72</v>
          </cell>
          <cell r="F59">
            <v>72.8</v>
          </cell>
          <cell r="G59">
            <v>76.39</v>
          </cell>
          <cell r="H59">
            <v>79.67</v>
          </cell>
        </row>
        <row r="60">
          <cell r="A60">
            <v>82</v>
          </cell>
          <cell r="B60" t="str">
            <v>Tiền Giang</v>
          </cell>
          <cell r="C60">
            <v>41.78</v>
          </cell>
          <cell r="D60">
            <v>46.05</v>
          </cell>
          <cell r="E60">
            <v>50.54</v>
          </cell>
          <cell r="F60">
            <v>54.57</v>
          </cell>
          <cell r="G60">
            <v>55.77</v>
          </cell>
          <cell r="H60">
            <v>56.23</v>
          </cell>
        </row>
        <row r="61">
          <cell r="A61">
            <v>83</v>
          </cell>
          <cell r="B61" t="str">
            <v>Bến Tre</v>
          </cell>
          <cell r="C61">
            <v>30.6</v>
          </cell>
          <cell r="D61">
            <v>33.53</v>
          </cell>
          <cell r="E61">
            <v>36.75</v>
          </cell>
          <cell r="F61">
            <v>40.31</v>
          </cell>
          <cell r="G61">
            <v>41.87</v>
          </cell>
          <cell r="H61">
            <v>44.3</v>
          </cell>
        </row>
        <row r="62">
          <cell r="A62">
            <v>84</v>
          </cell>
          <cell r="B62" t="str">
            <v>Trà Vinh</v>
          </cell>
          <cell r="C62">
            <v>40.24</v>
          </cell>
          <cell r="D62">
            <v>47.44</v>
          </cell>
          <cell r="E62">
            <v>53.55</v>
          </cell>
          <cell r="F62">
            <v>58.85</v>
          </cell>
          <cell r="G62">
            <v>61.01</v>
          </cell>
          <cell r="H62">
            <v>62.79</v>
          </cell>
        </row>
        <row r="63">
          <cell r="A63">
            <v>86</v>
          </cell>
          <cell r="B63" t="str">
            <v>Vĩnh Long</v>
          </cell>
          <cell r="C63">
            <v>40.71</v>
          </cell>
          <cell r="D63">
            <v>44.43</v>
          </cell>
          <cell r="E63">
            <v>48.08</v>
          </cell>
          <cell r="F63">
            <v>52.94</v>
          </cell>
          <cell r="G63">
            <v>57.34</v>
          </cell>
          <cell r="H63">
            <v>56.73</v>
          </cell>
        </row>
        <row r="64">
          <cell r="A64">
            <v>87</v>
          </cell>
          <cell r="B64" t="str">
            <v>Đồng Tháp</v>
          </cell>
          <cell r="C64">
            <v>38.43</v>
          </cell>
          <cell r="D64">
            <v>42.35</v>
          </cell>
          <cell r="E64">
            <v>47.35</v>
          </cell>
          <cell r="F64">
            <v>51.47</v>
          </cell>
          <cell r="G64">
            <v>53.39</v>
          </cell>
          <cell r="H64">
            <v>54.65</v>
          </cell>
        </row>
        <row r="65">
          <cell r="A65">
            <v>89</v>
          </cell>
          <cell r="B65" t="str">
            <v>An Giang</v>
          </cell>
          <cell r="C65">
            <v>33.119999999999997</v>
          </cell>
          <cell r="D65">
            <v>36.19</v>
          </cell>
          <cell r="E65">
            <v>40.43</v>
          </cell>
          <cell r="F65">
            <v>44.49</v>
          </cell>
          <cell r="G65">
            <v>46.64</v>
          </cell>
          <cell r="H65">
            <v>48.09</v>
          </cell>
        </row>
        <row r="66">
          <cell r="A66">
            <v>91</v>
          </cell>
          <cell r="B66" t="str">
            <v>Kiên Giang</v>
          </cell>
          <cell r="C66">
            <v>41.87</v>
          </cell>
          <cell r="D66">
            <v>46.26</v>
          </cell>
          <cell r="E66">
            <v>52.04</v>
          </cell>
          <cell r="F66">
            <v>55.17</v>
          </cell>
          <cell r="G66">
            <v>55.65</v>
          </cell>
          <cell r="H66">
            <v>59.05</v>
          </cell>
        </row>
        <row r="67">
          <cell r="A67">
            <v>92</v>
          </cell>
          <cell r="B67" t="str">
            <v>Cần Thơ</v>
          </cell>
          <cell r="C67">
            <v>55.39</v>
          </cell>
          <cell r="D67">
            <v>60.08</v>
          </cell>
          <cell r="E67">
            <v>67.78</v>
          </cell>
          <cell r="F67">
            <v>72.66</v>
          </cell>
          <cell r="G67">
            <v>72.42</v>
          </cell>
          <cell r="H67">
            <v>73.36</v>
          </cell>
        </row>
        <row r="68">
          <cell r="A68">
            <v>93</v>
          </cell>
          <cell r="B68" t="str">
            <v>Hậu Giang</v>
          </cell>
          <cell r="C68">
            <v>36.56</v>
          </cell>
          <cell r="D68">
            <v>39.979999999999997</v>
          </cell>
          <cell r="E68">
            <v>44.27</v>
          </cell>
          <cell r="F68">
            <v>48.64</v>
          </cell>
          <cell r="G68">
            <v>51.6</v>
          </cell>
          <cell r="H68">
            <v>54.6</v>
          </cell>
        </row>
        <row r="69">
          <cell r="A69">
            <v>94</v>
          </cell>
          <cell r="B69" t="str">
            <v>Sóc Trăng</v>
          </cell>
          <cell r="C69">
            <v>33.82</v>
          </cell>
          <cell r="D69">
            <v>37.39</v>
          </cell>
          <cell r="E69">
            <v>41.47</v>
          </cell>
          <cell r="F69">
            <v>44.5</v>
          </cell>
          <cell r="G69">
            <v>45.84</v>
          </cell>
          <cell r="H69">
            <v>47.95</v>
          </cell>
        </row>
        <row r="70">
          <cell r="A70">
            <v>95</v>
          </cell>
          <cell r="B70" t="str">
            <v>Bạc Liêu</v>
          </cell>
          <cell r="C70">
            <v>35.35</v>
          </cell>
          <cell r="D70">
            <v>39.770000000000003</v>
          </cell>
          <cell r="E70">
            <v>43.95</v>
          </cell>
          <cell r="F70">
            <v>45.95</v>
          </cell>
          <cell r="G70">
            <v>48.02</v>
          </cell>
          <cell r="H70">
            <v>51.86</v>
          </cell>
        </row>
        <row r="71">
          <cell r="A71">
            <v>96</v>
          </cell>
          <cell r="B71" t="str">
            <v>Cà Mau</v>
          </cell>
          <cell r="C71">
            <v>38.450000000000003</v>
          </cell>
          <cell r="D71">
            <v>43.19</v>
          </cell>
          <cell r="E71">
            <v>48.21</v>
          </cell>
          <cell r="F71">
            <v>50.67</v>
          </cell>
          <cell r="G71">
            <v>51.21</v>
          </cell>
          <cell r="H71">
            <v>52.23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1868833</v>
          </cell>
          <cell r="D9">
            <v>1816610</v>
          </cell>
          <cell r="E9">
            <v>1807126</v>
          </cell>
          <cell r="F9">
            <v>2120927</v>
          </cell>
          <cell r="G9">
            <v>2083102</v>
          </cell>
          <cell r="H9">
            <v>2179495</v>
          </cell>
          <cell r="I9">
            <v>2168022</v>
          </cell>
          <cell r="J9">
            <v>2214946</v>
          </cell>
        </row>
        <row r="10">
          <cell r="A10" t="str">
            <v>02</v>
          </cell>
          <cell r="B10" t="str">
            <v>Hà Giang</v>
          </cell>
          <cell r="C10">
            <v>202416</v>
          </cell>
          <cell r="D10">
            <v>204647</v>
          </cell>
          <cell r="E10">
            <v>205841</v>
          </cell>
          <cell r="F10">
            <v>209283</v>
          </cell>
          <cell r="G10">
            <v>218574</v>
          </cell>
          <cell r="H10">
            <v>215828</v>
          </cell>
          <cell r="I10">
            <v>219572</v>
          </cell>
          <cell r="J10">
            <v>216037</v>
          </cell>
        </row>
        <row r="11">
          <cell r="A11" t="str">
            <v>04</v>
          </cell>
          <cell r="B11" t="str">
            <v>Cao Bằng</v>
          </cell>
          <cell r="C11">
            <v>135435</v>
          </cell>
          <cell r="D11">
            <v>131933</v>
          </cell>
          <cell r="E11">
            <v>132323</v>
          </cell>
          <cell r="F11">
            <v>128191</v>
          </cell>
          <cell r="G11">
            <v>131018</v>
          </cell>
          <cell r="H11">
            <v>129042</v>
          </cell>
          <cell r="I11">
            <v>130789</v>
          </cell>
          <cell r="J11">
            <v>130501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190271</v>
          </cell>
        </row>
        <row r="14">
          <cell r="A14">
            <v>10</v>
          </cell>
          <cell r="B14" t="str">
            <v>Lào Cai</v>
          </cell>
          <cell r="C14">
            <v>177617</v>
          </cell>
          <cell r="D14">
            <v>175683</v>
          </cell>
          <cell r="E14">
            <v>177867</v>
          </cell>
          <cell r="F14">
            <v>184478</v>
          </cell>
          <cell r="G14">
            <v>189876</v>
          </cell>
          <cell r="H14">
            <v>196327</v>
          </cell>
          <cell r="I14">
            <v>193941</v>
          </cell>
          <cell r="J14">
            <v>198091</v>
          </cell>
        </row>
        <row r="15">
          <cell r="A15">
            <v>11</v>
          </cell>
          <cell r="B15" t="str">
            <v>Điện Biên</v>
          </cell>
          <cell r="C15">
            <v>141303</v>
          </cell>
          <cell r="D15">
            <v>141656</v>
          </cell>
          <cell r="E15">
            <v>142561</v>
          </cell>
          <cell r="F15">
            <v>149817</v>
          </cell>
          <cell r="G15">
            <v>156758</v>
          </cell>
          <cell r="H15">
            <v>160570</v>
          </cell>
          <cell r="I15">
            <v>160149</v>
          </cell>
          <cell r="J15">
            <v>164029</v>
          </cell>
        </row>
        <row r="16">
          <cell r="A16">
            <v>12</v>
          </cell>
          <cell r="B16" t="str">
            <v>Lai Châu</v>
          </cell>
          <cell r="C16">
            <v>110292</v>
          </cell>
          <cell r="D16">
            <v>109957</v>
          </cell>
          <cell r="E16">
            <v>112233</v>
          </cell>
          <cell r="F16">
            <v>115542</v>
          </cell>
          <cell r="G16">
            <v>120303</v>
          </cell>
          <cell r="H16">
            <v>126625</v>
          </cell>
          <cell r="I16">
            <v>124378</v>
          </cell>
          <cell r="J16">
            <v>125786</v>
          </cell>
        </row>
        <row r="17">
          <cell r="A17">
            <v>14</v>
          </cell>
          <cell r="B17" t="str">
            <v>Sơn La</v>
          </cell>
          <cell r="C17">
            <v>311617</v>
          </cell>
          <cell r="D17">
            <v>317716</v>
          </cell>
          <cell r="E17">
            <v>317102</v>
          </cell>
          <cell r="F17">
            <v>317411</v>
          </cell>
          <cell r="G17">
            <v>332758</v>
          </cell>
          <cell r="H17">
            <v>331870</v>
          </cell>
          <cell r="I17">
            <v>335725</v>
          </cell>
          <cell r="J17">
            <v>334485</v>
          </cell>
        </row>
        <row r="18">
          <cell r="A18">
            <v>15</v>
          </cell>
          <cell r="B18" t="str">
            <v>Yên Bái</v>
          </cell>
          <cell r="C18">
            <v>200204</v>
          </cell>
          <cell r="D18">
            <v>199706</v>
          </cell>
          <cell r="E18">
            <v>198115</v>
          </cell>
          <cell r="F18">
            <v>200565</v>
          </cell>
          <cell r="G18">
            <v>205628</v>
          </cell>
          <cell r="H18">
            <v>209443</v>
          </cell>
          <cell r="I18">
            <v>201466</v>
          </cell>
          <cell r="J18">
            <v>205747</v>
          </cell>
        </row>
        <row r="19">
          <cell r="A19">
            <v>17</v>
          </cell>
          <cell r="B19" t="str">
            <v>Hoà Bình</v>
          </cell>
          <cell r="C19">
            <v>212741</v>
          </cell>
          <cell r="D19">
            <v>209906</v>
          </cell>
          <cell r="E19">
            <v>209972</v>
          </cell>
          <cell r="F19">
            <v>208504</v>
          </cell>
          <cell r="G19">
            <v>210523</v>
          </cell>
          <cell r="H19">
            <v>211676</v>
          </cell>
          <cell r="I19">
            <v>210891</v>
          </cell>
          <cell r="J19">
            <v>210691</v>
          </cell>
        </row>
        <row r="20">
          <cell r="A20">
            <v>19</v>
          </cell>
          <cell r="B20" t="str">
            <v>Thái Nguyên</v>
          </cell>
          <cell r="C20">
            <v>313751</v>
          </cell>
          <cell r="D20">
            <v>318274</v>
          </cell>
          <cell r="E20">
            <v>304848</v>
          </cell>
          <cell r="F20">
            <v>340844</v>
          </cell>
          <cell r="G20">
            <v>327996</v>
          </cell>
          <cell r="H20">
            <v>330189</v>
          </cell>
          <cell r="I20">
            <v>330546</v>
          </cell>
          <cell r="J20">
            <v>324262</v>
          </cell>
        </row>
        <row r="21">
          <cell r="A21">
            <v>20</v>
          </cell>
          <cell r="B21" t="str">
            <v>Lạng Sơn</v>
          </cell>
          <cell r="C21">
            <v>200817</v>
          </cell>
          <cell r="D21">
            <v>195508</v>
          </cell>
          <cell r="E21">
            <v>194966</v>
          </cell>
          <cell r="F21">
            <v>188567</v>
          </cell>
          <cell r="G21">
            <v>193228</v>
          </cell>
          <cell r="H21">
            <v>196355</v>
          </cell>
          <cell r="I21">
            <v>193827</v>
          </cell>
          <cell r="J21">
            <v>191624</v>
          </cell>
        </row>
        <row r="22">
          <cell r="A22">
            <v>22</v>
          </cell>
          <cell r="B22" t="str">
            <v>Quảng Ninh</v>
          </cell>
          <cell r="C22">
            <v>306554</v>
          </cell>
          <cell r="D22">
            <v>299953</v>
          </cell>
          <cell r="E22">
            <v>305643</v>
          </cell>
          <cell r="F22">
            <v>324614</v>
          </cell>
          <cell r="G22">
            <v>329295</v>
          </cell>
          <cell r="H22">
            <v>329023</v>
          </cell>
          <cell r="I22">
            <v>330063</v>
          </cell>
          <cell r="J22">
            <v>333545</v>
          </cell>
        </row>
        <row r="23">
          <cell r="A23">
            <v>24</v>
          </cell>
          <cell r="B23" t="str">
            <v>Bắc Giang</v>
          </cell>
          <cell r="C23">
            <v>415613</v>
          </cell>
          <cell r="D23">
            <v>415639</v>
          </cell>
          <cell r="E23">
            <v>427313</v>
          </cell>
          <cell r="F23">
            <v>451289</v>
          </cell>
          <cell r="G23">
            <v>460107</v>
          </cell>
          <cell r="H23">
            <v>470703</v>
          </cell>
          <cell r="I23">
            <v>466316</v>
          </cell>
          <cell r="J23">
            <v>468634</v>
          </cell>
        </row>
        <row r="24">
          <cell r="A24">
            <v>25</v>
          </cell>
          <cell r="B24" t="str">
            <v>Phú Thọ</v>
          </cell>
          <cell r="C24">
            <v>332456</v>
          </cell>
          <cell r="D24">
            <v>329750</v>
          </cell>
          <cell r="E24">
            <v>325468</v>
          </cell>
          <cell r="F24">
            <v>347397</v>
          </cell>
          <cell r="G24">
            <v>351743</v>
          </cell>
          <cell r="H24">
            <v>345340</v>
          </cell>
          <cell r="I24">
            <v>355516</v>
          </cell>
          <cell r="J24">
            <v>354790</v>
          </cell>
        </row>
        <row r="25">
          <cell r="A25">
            <v>26</v>
          </cell>
          <cell r="B25" t="str">
            <v>Vĩnh Phúc</v>
          </cell>
          <cell r="C25">
            <v>263582</v>
          </cell>
          <cell r="D25">
            <v>264950</v>
          </cell>
          <cell r="E25">
            <v>259123</v>
          </cell>
          <cell r="F25">
            <v>280059</v>
          </cell>
          <cell r="G25">
            <v>285289</v>
          </cell>
          <cell r="H25">
            <v>295450</v>
          </cell>
          <cell r="I25">
            <v>296312</v>
          </cell>
          <cell r="J25">
            <v>295681</v>
          </cell>
        </row>
        <row r="26">
          <cell r="A26">
            <v>27</v>
          </cell>
          <cell r="B26" t="str">
            <v>Bắc Ninh</v>
          </cell>
          <cell r="C26">
            <v>291871</v>
          </cell>
          <cell r="D26">
            <v>299921</v>
          </cell>
          <cell r="E26">
            <v>304595</v>
          </cell>
          <cell r="F26">
            <v>380458</v>
          </cell>
          <cell r="G26">
            <v>377324</v>
          </cell>
          <cell r="H26">
            <v>399210</v>
          </cell>
          <cell r="I26">
            <v>387786</v>
          </cell>
          <cell r="J26">
            <v>392291</v>
          </cell>
        </row>
        <row r="27">
          <cell r="A27">
            <v>30</v>
          </cell>
          <cell r="B27" t="str">
            <v>Hải Dương</v>
          </cell>
          <cell r="C27">
            <v>436567</v>
          </cell>
          <cell r="D27">
            <v>423021</v>
          </cell>
          <cell r="E27">
            <v>420319</v>
          </cell>
          <cell r="F27">
            <v>447558</v>
          </cell>
          <cell r="G27">
            <v>453813</v>
          </cell>
          <cell r="H27">
            <v>451814</v>
          </cell>
          <cell r="I27">
            <v>445090</v>
          </cell>
          <cell r="J27">
            <v>450013</v>
          </cell>
        </row>
        <row r="28">
          <cell r="A28">
            <v>31</v>
          </cell>
          <cell r="B28" t="str">
            <v>Hải Phòng</v>
          </cell>
          <cell r="C28">
            <v>479539</v>
          </cell>
          <cell r="D28">
            <v>483971</v>
          </cell>
          <cell r="E28">
            <v>478729</v>
          </cell>
          <cell r="F28">
            <v>486337</v>
          </cell>
          <cell r="G28">
            <v>490908</v>
          </cell>
          <cell r="H28">
            <v>497603</v>
          </cell>
          <cell r="I28">
            <v>501644</v>
          </cell>
          <cell r="J28">
            <v>491133</v>
          </cell>
        </row>
        <row r="29">
          <cell r="A29">
            <v>33</v>
          </cell>
          <cell r="B29" t="str">
            <v>Hưng Yên</v>
          </cell>
          <cell r="C29">
            <v>273295</v>
          </cell>
          <cell r="D29">
            <v>278264</v>
          </cell>
          <cell r="E29">
            <v>272638</v>
          </cell>
          <cell r="F29">
            <v>297251</v>
          </cell>
          <cell r="G29">
            <v>299214</v>
          </cell>
          <cell r="H29">
            <v>301252</v>
          </cell>
          <cell r="I29">
            <v>301939</v>
          </cell>
          <cell r="J29">
            <v>298429</v>
          </cell>
        </row>
        <row r="30">
          <cell r="A30">
            <v>34</v>
          </cell>
          <cell r="B30" t="str">
            <v>Thái Bình</v>
          </cell>
          <cell r="C30">
            <v>404724</v>
          </cell>
          <cell r="D30">
            <v>392184</v>
          </cell>
          <cell r="E30">
            <v>377800</v>
          </cell>
          <cell r="F30">
            <v>422469</v>
          </cell>
          <cell r="G30">
            <v>399666</v>
          </cell>
          <cell r="H30">
            <v>398301</v>
          </cell>
          <cell r="I30">
            <v>412377</v>
          </cell>
          <cell r="J30">
            <v>407384</v>
          </cell>
        </row>
        <row r="31">
          <cell r="A31">
            <v>35</v>
          </cell>
          <cell r="B31" t="str">
            <v>Hà Nam</v>
          </cell>
          <cell r="C31">
            <v>190422</v>
          </cell>
          <cell r="D31">
            <v>182873</v>
          </cell>
          <cell r="E31">
            <v>181628</v>
          </cell>
          <cell r="F31">
            <v>195987</v>
          </cell>
          <cell r="G31">
            <v>198256</v>
          </cell>
          <cell r="H31">
            <v>198543</v>
          </cell>
          <cell r="I31">
            <v>203126</v>
          </cell>
          <cell r="J31">
            <v>200495</v>
          </cell>
        </row>
        <row r="32">
          <cell r="A32">
            <v>36</v>
          </cell>
          <cell r="B32" t="str">
            <v>Nam Định</v>
          </cell>
          <cell r="C32">
            <v>407312</v>
          </cell>
          <cell r="D32">
            <v>399332</v>
          </cell>
          <cell r="E32">
            <v>396199</v>
          </cell>
          <cell r="F32">
            <v>394814</v>
          </cell>
          <cell r="G32">
            <v>394188</v>
          </cell>
          <cell r="H32">
            <v>395818</v>
          </cell>
          <cell r="I32">
            <v>394857</v>
          </cell>
          <cell r="J32">
            <v>404167</v>
          </cell>
        </row>
        <row r="33">
          <cell r="A33">
            <v>37</v>
          </cell>
          <cell r="B33" t="str">
            <v>Ninh Bình</v>
          </cell>
          <cell r="C33">
            <v>212554</v>
          </cell>
          <cell r="D33">
            <v>212984</v>
          </cell>
          <cell r="E33">
            <v>211354</v>
          </cell>
          <cell r="F33">
            <v>225676</v>
          </cell>
          <cell r="G33">
            <v>224434</v>
          </cell>
          <cell r="H33">
            <v>223408</v>
          </cell>
          <cell r="I33">
            <v>222198</v>
          </cell>
          <cell r="J33">
            <v>221420</v>
          </cell>
        </row>
        <row r="34">
          <cell r="A34">
            <v>38</v>
          </cell>
          <cell r="B34" t="str">
            <v>Thanh Hoá</v>
          </cell>
          <cell r="C34">
            <v>838789</v>
          </cell>
          <cell r="D34">
            <v>843426</v>
          </cell>
          <cell r="E34">
            <v>818351</v>
          </cell>
          <cell r="F34">
            <v>861523</v>
          </cell>
          <cell r="G34">
            <v>844301</v>
          </cell>
          <cell r="H34">
            <v>841844</v>
          </cell>
          <cell r="I34">
            <v>866736</v>
          </cell>
          <cell r="J34">
            <v>826450</v>
          </cell>
        </row>
        <row r="35">
          <cell r="A35">
            <v>40</v>
          </cell>
          <cell r="B35" t="str">
            <v>Nghệ An</v>
          </cell>
          <cell r="C35">
            <v>780172</v>
          </cell>
          <cell r="D35">
            <v>757252</v>
          </cell>
          <cell r="E35">
            <v>758915</v>
          </cell>
          <cell r="F35">
            <v>808811</v>
          </cell>
          <cell r="G35">
            <v>817812</v>
          </cell>
          <cell r="H35">
            <v>793286</v>
          </cell>
          <cell r="I35">
            <v>791371</v>
          </cell>
          <cell r="J35">
            <v>785719</v>
          </cell>
        </row>
        <row r="36">
          <cell r="A36">
            <v>42</v>
          </cell>
          <cell r="B36" t="str">
            <v>Hà Tĩnh</v>
          </cell>
          <cell r="C36">
            <v>285093</v>
          </cell>
          <cell r="D36">
            <v>284600</v>
          </cell>
          <cell r="E36">
            <v>282942</v>
          </cell>
          <cell r="F36">
            <v>284784</v>
          </cell>
          <cell r="G36">
            <v>292903</v>
          </cell>
          <cell r="H36">
            <v>287734</v>
          </cell>
          <cell r="I36">
            <v>291305</v>
          </cell>
          <cell r="J36">
            <v>290580</v>
          </cell>
        </row>
        <row r="37">
          <cell r="A37">
            <v>44</v>
          </cell>
          <cell r="B37" t="str">
            <v>Quảng Bình</v>
          </cell>
          <cell r="C37">
            <v>217104</v>
          </cell>
          <cell r="D37">
            <v>212591</v>
          </cell>
          <cell r="E37">
            <v>213647</v>
          </cell>
          <cell r="F37">
            <v>216920</v>
          </cell>
          <cell r="G37">
            <v>219412</v>
          </cell>
          <cell r="H37">
            <v>219525</v>
          </cell>
          <cell r="I37">
            <v>213584</v>
          </cell>
          <cell r="J37">
            <v>211846</v>
          </cell>
        </row>
        <row r="38">
          <cell r="A38">
            <v>45</v>
          </cell>
          <cell r="B38" t="str">
            <v>Quảng Trị</v>
          </cell>
          <cell r="C38">
            <v>149377</v>
          </cell>
          <cell r="D38">
            <v>148282</v>
          </cell>
          <cell r="E38">
            <v>144554</v>
          </cell>
          <cell r="F38">
            <v>146702</v>
          </cell>
          <cell r="G38">
            <v>152288</v>
          </cell>
          <cell r="H38">
            <v>152216</v>
          </cell>
          <cell r="I38">
            <v>150098</v>
          </cell>
          <cell r="J38">
            <v>146970</v>
          </cell>
        </row>
        <row r="39">
          <cell r="A39">
            <v>46</v>
          </cell>
          <cell r="B39" t="str">
            <v>Thừa Thiên Huế</v>
          </cell>
          <cell r="C39">
            <v>295971</v>
          </cell>
          <cell r="D39">
            <v>284131</v>
          </cell>
          <cell r="E39">
            <v>280887</v>
          </cell>
          <cell r="F39">
            <v>284367</v>
          </cell>
          <cell r="G39">
            <v>275698</v>
          </cell>
          <cell r="H39">
            <v>287076</v>
          </cell>
          <cell r="I39">
            <v>290877</v>
          </cell>
          <cell r="J39">
            <v>282621</v>
          </cell>
        </row>
        <row r="40">
          <cell r="A40">
            <v>48</v>
          </cell>
          <cell r="B40" t="str">
            <v>Đà Nẵng</v>
          </cell>
          <cell r="C40">
            <v>288000</v>
          </cell>
          <cell r="D40">
            <v>286885</v>
          </cell>
          <cell r="E40">
            <v>285139</v>
          </cell>
          <cell r="F40">
            <v>321250</v>
          </cell>
          <cell r="G40">
            <v>322394</v>
          </cell>
          <cell r="H40">
            <v>331843</v>
          </cell>
          <cell r="I40">
            <v>331368</v>
          </cell>
          <cell r="J40">
            <v>327699</v>
          </cell>
        </row>
        <row r="41">
          <cell r="A41">
            <v>49</v>
          </cell>
          <cell r="B41" t="str">
            <v>Quảng Nam</v>
          </cell>
          <cell r="C41">
            <v>373354</v>
          </cell>
          <cell r="D41">
            <v>360868</v>
          </cell>
          <cell r="E41">
            <v>361771</v>
          </cell>
          <cell r="F41">
            <v>357783</v>
          </cell>
          <cell r="G41">
            <v>359110</v>
          </cell>
          <cell r="H41">
            <v>361930</v>
          </cell>
          <cell r="I41">
            <v>356249</v>
          </cell>
          <cell r="J41">
            <v>358109</v>
          </cell>
        </row>
        <row r="42">
          <cell r="A42">
            <v>51</v>
          </cell>
          <cell r="B42" t="str">
            <v>Quảng Ngãi</v>
          </cell>
          <cell r="C42">
            <v>310696</v>
          </cell>
          <cell r="D42">
            <v>309140</v>
          </cell>
          <cell r="E42">
            <v>304675</v>
          </cell>
          <cell r="F42">
            <v>296464</v>
          </cell>
          <cell r="G42">
            <v>296688</v>
          </cell>
          <cell r="H42">
            <v>288708</v>
          </cell>
          <cell r="I42">
            <v>291372</v>
          </cell>
          <cell r="J42">
            <v>293110</v>
          </cell>
        </row>
        <row r="43">
          <cell r="A43">
            <v>52</v>
          </cell>
          <cell r="B43" t="str">
            <v>Bình Định</v>
          </cell>
          <cell r="C43">
            <v>390296</v>
          </cell>
          <cell r="D43">
            <v>378257</v>
          </cell>
          <cell r="E43">
            <v>376531</v>
          </cell>
          <cell r="F43">
            <v>365610</v>
          </cell>
          <cell r="G43">
            <v>362065</v>
          </cell>
          <cell r="H43">
            <v>357710</v>
          </cell>
          <cell r="I43">
            <v>356770</v>
          </cell>
          <cell r="J43">
            <v>356738</v>
          </cell>
        </row>
        <row r="44">
          <cell r="A44">
            <v>54</v>
          </cell>
          <cell r="B44" t="str">
            <v>Phú Yên</v>
          </cell>
          <cell r="C44">
            <v>234175</v>
          </cell>
          <cell r="D44">
            <v>229867</v>
          </cell>
          <cell r="E44">
            <v>232519</v>
          </cell>
          <cell r="F44">
            <v>218217</v>
          </cell>
          <cell r="G44">
            <v>219005</v>
          </cell>
          <cell r="H44">
            <v>215595</v>
          </cell>
          <cell r="I44">
            <v>217335</v>
          </cell>
          <cell r="J44">
            <v>212525</v>
          </cell>
        </row>
        <row r="45">
          <cell r="A45">
            <v>56</v>
          </cell>
          <cell r="B45" t="str">
            <v>Khánh Hoà</v>
          </cell>
          <cell r="C45">
            <v>326652</v>
          </cell>
          <cell r="D45">
            <v>326667</v>
          </cell>
          <cell r="E45">
            <v>324974</v>
          </cell>
          <cell r="F45">
            <v>326069</v>
          </cell>
          <cell r="G45">
            <v>333736</v>
          </cell>
          <cell r="H45">
            <v>334346</v>
          </cell>
          <cell r="I45">
            <v>332472</v>
          </cell>
          <cell r="J45">
            <v>324889</v>
          </cell>
        </row>
        <row r="46">
          <cell r="A46">
            <v>58</v>
          </cell>
          <cell r="B46" t="str">
            <v>Ninh Thuận</v>
          </cell>
          <cell r="C46">
            <v>158335</v>
          </cell>
          <cell r="D46">
            <v>157833</v>
          </cell>
          <cell r="E46">
            <v>156181</v>
          </cell>
          <cell r="F46">
            <v>151236</v>
          </cell>
          <cell r="G46">
            <v>150831</v>
          </cell>
          <cell r="H46">
            <v>150522</v>
          </cell>
          <cell r="I46">
            <v>146598</v>
          </cell>
          <cell r="J46">
            <v>148925</v>
          </cell>
        </row>
        <row r="47">
          <cell r="A47">
            <v>60</v>
          </cell>
          <cell r="B47" t="str">
            <v>Bình Thuận</v>
          </cell>
          <cell r="C47">
            <v>323755</v>
          </cell>
          <cell r="D47">
            <v>323825</v>
          </cell>
          <cell r="E47">
            <v>322630</v>
          </cell>
          <cell r="F47">
            <v>319359</v>
          </cell>
          <cell r="G47">
            <v>318421</v>
          </cell>
          <cell r="H47">
            <v>329912</v>
          </cell>
          <cell r="I47">
            <v>329769</v>
          </cell>
          <cell r="J47">
            <v>328430</v>
          </cell>
        </row>
        <row r="48">
          <cell r="A48">
            <v>62</v>
          </cell>
          <cell r="B48" t="str">
            <v>Kon Tum</v>
          </cell>
          <cell r="C48">
            <v>127971</v>
          </cell>
          <cell r="D48">
            <v>134853</v>
          </cell>
          <cell r="E48">
            <v>134297</v>
          </cell>
          <cell r="F48">
            <v>138542</v>
          </cell>
          <cell r="G48">
            <v>145465</v>
          </cell>
          <cell r="H48">
            <v>148992</v>
          </cell>
          <cell r="I48">
            <v>150712</v>
          </cell>
          <cell r="J48">
            <v>159161</v>
          </cell>
        </row>
        <row r="49">
          <cell r="A49">
            <v>64</v>
          </cell>
          <cell r="B49" t="str">
            <v>Gia Lai</v>
          </cell>
          <cell r="C49">
            <v>371904</v>
          </cell>
          <cell r="D49">
            <v>379230</v>
          </cell>
          <cell r="E49">
            <v>379137</v>
          </cell>
          <cell r="F49">
            <v>392661</v>
          </cell>
          <cell r="G49">
            <v>400992</v>
          </cell>
          <cell r="H49">
            <v>406360</v>
          </cell>
          <cell r="I49">
            <v>414516</v>
          </cell>
          <cell r="J49">
            <v>406762</v>
          </cell>
        </row>
        <row r="50">
          <cell r="A50">
            <v>66</v>
          </cell>
          <cell r="B50" t="str">
            <v>Đắk Lắk</v>
          </cell>
          <cell r="C50">
            <v>499472</v>
          </cell>
          <cell r="D50">
            <v>492721</v>
          </cell>
          <cell r="E50">
            <v>491532</v>
          </cell>
          <cell r="F50">
            <v>480952</v>
          </cell>
          <cell r="G50">
            <v>490300</v>
          </cell>
          <cell r="H50">
            <v>485280</v>
          </cell>
          <cell r="I50">
            <v>484451</v>
          </cell>
          <cell r="J50">
            <v>475178</v>
          </cell>
        </row>
        <row r="51">
          <cell r="A51">
            <v>67</v>
          </cell>
          <cell r="B51" t="str">
            <v>Đắk Nông</v>
          </cell>
          <cell r="C51">
            <v>155938</v>
          </cell>
          <cell r="D51">
            <v>161525</v>
          </cell>
          <cell r="E51">
            <v>161916</v>
          </cell>
          <cell r="F51">
            <v>158209</v>
          </cell>
          <cell r="G51">
            <v>163919</v>
          </cell>
          <cell r="H51">
            <v>167009</v>
          </cell>
          <cell r="I51">
            <v>171626</v>
          </cell>
          <cell r="J51">
            <v>172570</v>
          </cell>
        </row>
        <row r="52">
          <cell r="A52">
            <v>68</v>
          </cell>
          <cell r="B52" t="str">
            <v>Lâm Đồng</v>
          </cell>
          <cell r="C52">
            <v>332529</v>
          </cell>
          <cell r="D52">
            <v>329720</v>
          </cell>
          <cell r="E52">
            <v>341024</v>
          </cell>
          <cell r="F52">
            <v>335035</v>
          </cell>
          <cell r="G52">
            <v>345833</v>
          </cell>
          <cell r="H52">
            <v>345680</v>
          </cell>
          <cell r="I52">
            <v>346882</v>
          </cell>
          <cell r="J52">
            <v>340942</v>
          </cell>
        </row>
        <row r="53">
          <cell r="A53">
            <v>70</v>
          </cell>
          <cell r="B53" t="str">
            <v>Bình Phước</v>
          </cell>
          <cell r="C53">
            <v>259562</v>
          </cell>
          <cell r="D53">
            <v>258719</v>
          </cell>
          <cell r="E53">
            <v>251209</v>
          </cell>
          <cell r="F53">
            <v>262676</v>
          </cell>
          <cell r="G53">
            <v>268772</v>
          </cell>
          <cell r="H53">
            <v>273479</v>
          </cell>
          <cell r="I53">
            <v>275382</v>
          </cell>
          <cell r="J53">
            <v>270696</v>
          </cell>
        </row>
        <row r="54">
          <cell r="A54">
            <v>72</v>
          </cell>
          <cell r="B54" t="str">
            <v>Tây Ninh</v>
          </cell>
          <cell r="C54">
            <v>300981</v>
          </cell>
          <cell r="D54">
            <v>300307</v>
          </cell>
          <cell r="E54">
            <v>292492</v>
          </cell>
          <cell r="F54">
            <v>312135</v>
          </cell>
          <cell r="G54">
            <v>312118</v>
          </cell>
          <cell r="H54">
            <v>317089</v>
          </cell>
          <cell r="I54">
            <v>315579</v>
          </cell>
          <cell r="J54">
            <v>305377</v>
          </cell>
        </row>
        <row r="55">
          <cell r="A55">
            <v>74</v>
          </cell>
          <cell r="B55" t="str">
            <v>Bình Dương</v>
          </cell>
          <cell r="C55">
            <v>653337</v>
          </cell>
          <cell r="D55">
            <v>629011</v>
          </cell>
          <cell r="E55">
            <v>663951</v>
          </cell>
          <cell r="F55">
            <v>809428</v>
          </cell>
          <cell r="G55">
            <v>826953</v>
          </cell>
          <cell r="H55">
            <v>876656</v>
          </cell>
          <cell r="I55">
            <v>891936</v>
          </cell>
          <cell r="J55">
            <v>892012</v>
          </cell>
        </row>
        <row r="56">
          <cell r="A56">
            <v>75</v>
          </cell>
          <cell r="B56" t="str">
            <v>Đồng Nai</v>
          </cell>
          <cell r="C56">
            <v>826887</v>
          </cell>
          <cell r="D56">
            <v>818013</v>
          </cell>
          <cell r="E56">
            <v>833654</v>
          </cell>
          <cell r="F56">
            <v>873213</v>
          </cell>
          <cell r="G56">
            <v>888511</v>
          </cell>
          <cell r="H56">
            <v>901698</v>
          </cell>
          <cell r="I56">
            <v>901668</v>
          </cell>
          <cell r="J56">
            <v>935617</v>
          </cell>
        </row>
        <row r="57">
          <cell r="A57">
            <v>77</v>
          </cell>
          <cell r="B57" t="str">
            <v>Bà Rịa-Vũng Tàu(***)</v>
          </cell>
          <cell r="C57">
            <v>291757</v>
          </cell>
          <cell r="D57">
            <v>292491</v>
          </cell>
          <cell r="E57">
            <v>291273</v>
          </cell>
          <cell r="F57">
            <v>306629</v>
          </cell>
          <cell r="G57">
            <v>322012</v>
          </cell>
          <cell r="H57">
            <v>318593</v>
          </cell>
          <cell r="I57">
            <v>314810</v>
          </cell>
          <cell r="J57">
            <v>312080</v>
          </cell>
        </row>
        <row r="58">
          <cell r="A58">
            <v>79</v>
          </cell>
          <cell r="B58" t="str">
            <v>TP Hồ Chí Minh</v>
          </cell>
          <cell r="C58">
            <v>2428991</v>
          </cell>
          <cell r="D58">
            <v>2438687</v>
          </cell>
          <cell r="E58">
            <v>2428978</v>
          </cell>
          <cell r="F58">
            <v>2803419</v>
          </cell>
          <cell r="G58">
            <v>2730784</v>
          </cell>
          <cell r="H58">
            <v>2850204</v>
          </cell>
          <cell r="I58">
            <v>2837320</v>
          </cell>
          <cell r="J58">
            <v>2850366</v>
          </cell>
        </row>
        <row r="59">
          <cell r="A59">
            <v>80</v>
          </cell>
          <cell r="B59" t="str">
            <v>Long An</v>
          </cell>
          <cell r="C59">
            <v>386072</v>
          </cell>
          <cell r="D59">
            <v>390487</v>
          </cell>
          <cell r="E59">
            <v>370606</v>
          </cell>
          <cell r="F59">
            <v>449801</v>
          </cell>
          <cell r="G59">
            <v>457258</v>
          </cell>
          <cell r="H59">
            <v>445884</v>
          </cell>
          <cell r="I59">
            <v>455413</v>
          </cell>
          <cell r="J59">
            <v>459277</v>
          </cell>
        </row>
        <row r="60">
          <cell r="A60">
            <v>82</v>
          </cell>
          <cell r="B60" t="str">
            <v>Tiền Giang</v>
          </cell>
          <cell r="C60">
            <v>451688</v>
          </cell>
          <cell r="D60">
            <v>448363</v>
          </cell>
          <cell r="E60">
            <v>437452</v>
          </cell>
          <cell r="F60">
            <v>447347</v>
          </cell>
          <cell r="G60">
            <v>452989</v>
          </cell>
          <cell r="H60">
            <v>443972</v>
          </cell>
          <cell r="I60">
            <v>443390</v>
          </cell>
          <cell r="J60">
            <v>435809</v>
          </cell>
        </row>
        <row r="61">
          <cell r="A61">
            <v>83</v>
          </cell>
          <cell r="B61" t="str">
            <v>Bến Tre</v>
          </cell>
          <cell r="C61">
            <v>311713</v>
          </cell>
          <cell r="D61">
            <v>306909</v>
          </cell>
          <cell r="E61">
            <v>301581</v>
          </cell>
          <cell r="F61">
            <v>312977</v>
          </cell>
          <cell r="G61">
            <v>309490</v>
          </cell>
          <cell r="H61">
            <v>310158</v>
          </cell>
          <cell r="I61">
            <v>306239</v>
          </cell>
          <cell r="J61">
            <v>301723</v>
          </cell>
        </row>
        <row r="62">
          <cell r="A62">
            <v>84</v>
          </cell>
          <cell r="B62" t="str">
            <v>Trà Vinh</v>
          </cell>
          <cell r="C62">
            <v>261545</v>
          </cell>
          <cell r="D62">
            <v>257752</v>
          </cell>
          <cell r="E62">
            <v>253749</v>
          </cell>
          <cell r="F62">
            <v>251206</v>
          </cell>
          <cell r="G62">
            <v>251918</v>
          </cell>
          <cell r="H62">
            <v>250472</v>
          </cell>
          <cell r="I62">
            <v>253230</v>
          </cell>
          <cell r="J62">
            <v>249249</v>
          </cell>
        </row>
        <row r="63">
          <cell r="A63">
            <v>86</v>
          </cell>
          <cell r="B63" t="str">
            <v>Vĩnh Long</v>
          </cell>
          <cell r="C63">
            <v>253396</v>
          </cell>
          <cell r="D63">
            <v>258798</v>
          </cell>
          <cell r="E63">
            <v>250272</v>
          </cell>
          <cell r="F63">
            <v>249653</v>
          </cell>
          <cell r="G63">
            <v>245167</v>
          </cell>
          <cell r="H63">
            <v>241454</v>
          </cell>
          <cell r="I63">
            <v>250777</v>
          </cell>
          <cell r="J63">
            <v>252133</v>
          </cell>
        </row>
        <row r="64">
          <cell r="A64">
            <v>87</v>
          </cell>
          <cell r="B64" t="str">
            <v>Đồng Tháp</v>
          </cell>
          <cell r="C64">
            <v>447930</v>
          </cell>
          <cell r="D64">
            <v>427273</v>
          </cell>
          <cell r="E64">
            <v>420696</v>
          </cell>
          <cell r="F64">
            <v>402183</v>
          </cell>
          <cell r="G64">
            <v>400052</v>
          </cell>
          <cell r="H64">
            <v>402157</v>
          </cell>
          <cell r="I64">
            <v>390856</v>
          </cell>
          <cell r="J64">
            <v>391687</v>
          </cell>
        </row>
        <row r="65">
          <cell r="A65">
            <v>89</v>
          </cell>
          <cell r="B65" t="str">
            <v>An Giang</v>
          </cell>
          <cell r="C65">
            <v>546235</v>
          </cell>
          <cell r="D65">
            <v>542116</v>
          </cell>
          <cell r="E65">
            <v>524162</v>
          </cell>
          <cell r="F65">
            <v>471750</v>
          </cell>
          <cell r="G65">
            <v>465423</v>
          </cell>
          <cell r="H65">
            <v>454419</v>
          </cell>
          <cell r="I65">
            <v>467283</v>
          </cell>
          <cell r="J65">
            <v>454250</v>
          </cell>
        </row>
        <row r="66">
          <cell r="A66">
            <v>91</v>
          </cell>
          <cell r="B66" t="str">
            <v>Kiên Giang</v>
          </cell>
          <cell r="C66">
            <v>452483</v>
          </cell>
          <cell r="D66">
            <v>438812</v>
          </cell>
          <cell r="E66">
            <v>442421</v>
          </cell>
          <cell r="F66">
            <v>454065</v>
          </cell>
          <cell r="G66">
            <v>439862</v>
          </cell>
          <cell r="H66">
            <v>441717</v>
          </cell>
          <cell r="I66">
            <v>447186</v>
          </cell>
          <cell r="J66">
            <v>429979</v>
          </cell>
        </row>
        <row r="67">
          <cell r="A67">
            <v>92</v>
          </cell>
          <cell r="B67" t="str">
            <v>Cần Thơ</v>
          </cell>
          <cell r="C67">
            <v>332356</v>
          </cell>
          <cell r="D67">
            <v>332200</v>
          </cell>
          <cell r="E67">
            <v>322447</v>
          </cell>
          <cell r="F67">
            <v>339534</v>
          </cell>
          <cell r="G67">
            <v>324918</v>
          </cell>
          <cell r="H67">
            <v>337235</v>
          </cell>
          <cell r="I67">
            <v>342119</v>
          </cell>
          <cell r="J67">
            <v>337258</v>
          </cell>
        </row>
        <row r="68">
          <cell r="A68">
            <v>93</v>
          </cell>
          <cell r="B68" t="str">
            <v>Hậu Giang</v>
          </cell>
          <cell r="C68">
            <v>198076</v>
          </cell>
          <cell r="D68">
            <v>191869</v>
          </cell>
          <cell r="E68">
            <v>187064</v>
          </cell>
          <cell r="F68">
            <v>181429</v>
          </cell>
          <cell r="G68">
            <v>180372</v>
          </cell>
          <cell r="H68">
            <v>177196</v>
          </cell>
          <cell r="I68">
            <v>180542</v>
          </cell>
          <cell r="J68">
            <v>181335</v>
          </cell>
        </row>
        <row r="69">
          <cell r="A69">
            <v>94</v>
          </cell>
          <cell r="B69" t="str">
            <v>Sóc Trăng</v>
          </cell>
          <cell r="C69">
            <v>331265</v>
          </cell>
          <cell r="D69">
            <v>320140</v>
          </cell>
          <cell r="E69">
            <v>318641</v>
          </cell>
          <cell r="F69">
            <v>292046</v>
          </cell>
          <cell r="G69">
            <v>293110</v>
          </cell>
          <cell r="H69">
            <v>289231</v>
          </cell>
          <cell r="I69">
            <v>294583</v>
          </cell>
          <cell r="J69">
            <v>289373</v>
          </cell>
        </row>
        <row r="70">
          <cell r="A70">
            <v>95</v>
          </cell>
          <cell r="B70" t="str">
            <v>Bạc Liêu</v>
          </cell>
          <cell r="C70">
            <v>229811</v>
          </cell>
          <cell r="D70">
            <v>222197</v>
          </cell>
          <cell r="E70">
            <v>223386</v>
          </cell>
          <cell r="F70">
            <v>246646</v>
          </cell>
          <cell r="G70">
            <v>240979</v>
          </cell>
          <cell r="H70">
            <v>250387</v>
          </cell>
          <cell r="I70">
            <v>245756</v>
          </cell>
          <cell r="J70">
            <v>237374</v>
          </cell>
        </row>
        <row r="71">
          <cell r="A71">
            <v>96</v>
          </cell>
          <cell r="B71" t="str">
            <v>Cà Mau</v>
          </cell>
          <cell r="C71">
            <v>312110</v>
          </cell>
          <cell r="D71">
            <v>309960</v>
          </cell>
          <cell r="E71">
            <v>312091</v>
          </cell>
          <cell r="F71">
            <v>308398</v>
          </cell>
          <cell r="G71">
            <v>306257</v>
          </cell>
          <cell r="H71">
            <v>303877</v>
          </cell>
          <cell r="I71">
            <v>306260</v>
          </cell>
          <cell r="J71">
            <v>306650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110169</v>
          </cell>
          <cell r="D9">
            <v>121570</v>
          </cell>
          <cell r="E9">
            <v>129556</v>
          </cell>
          <cell r="F9">
            <v>141484</v>
          </cell>
          <cell r="G9">
            <v>144808</v>
          </cell>
          <cell r="H9">
            <v>147454</v>
          </cell>
          <cell r="I9">
            <v>150522</v>
          </cell>
        </row>
        <row r="10">
          <cell r="A10" t="str">
            <v>02</v>
          </cell>
          <cell r="B10" t="str">
            <v>Hà Giang</v>
          </cell>
          <cell r="C10">
            <v>812</v>
          </cell>
          <cell r="D10">
            <v>797</v>
          </cell>
          <cell r="E10">
            <v>762</v>
          </cell>
          <cell r="F10">
            <v>798</v>
          </cell>
          <cell r="G10">
            <v>927</v>
          </cell>
          <cell r="H10">
            <v>1003</v>
          </cell>
          <cell r="I10">
            <v>952</v>
          </cell>
        </row>
        <row r="11">
          <cell r="A11" t="str">
            <v>04</v>
          </cell>
          <cell r="B11" t="str">
            <v>Cao Bằng</v>
          </cell>
          <cell r="C11">
            <v>659</v>
          </cell>
          <cell r="D11">
            <v>725</v>
          </cell>
          <cell r="E11">
            <v>787</v>
          </cell>
          <cell r="F11">
            <v>865</v>
          </cell>
          <cell r="G11">
            <v>918</v>
          </cell>
          <cell r="H11">
            <v>977</v>
          </cell>
          <cell r="I11">
            <v>996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</row>
        <row r="13">
          <cell r="A13">
            <v>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</row>
        <row r="14">
          <cell r="A14">
            <v>10</v>
          </cell>
          <cell r="B14" t="str">
            <v>Lào Cai</v>
          </cell>
          <cell r="C14">
            <v>1574</v>
          </cell>
          <cell r="D14">
            <v>1809</v>
          </cell>
          <cell r="E14">
            <v>1733</v>
          </cell>
          <cell r="F14">
            <v>1959</v>
          </cell>
          <cell r="G14">
            <v>2317</v>
          </cell>
          <cell r="H14">
            <v>2523</v>
          </cell>
          <cell r="I14">
            <v>2539</v>
          </cell>
        </row>
        <row r="15">
          <cell r="A15">
            <v>11</v>
          </cell>
          <cell r="B15" t="str">
            <v>Điện Biên</v>
          </cell>
          <cell r="C15">
            <v>880</v>
          </cell>
          <cell r="D15">
            <v>870</v>
          </cell>
          <cell r="E15">
            <v>911</v>
          </cell>
          <cell r="F15">
            <v>940</v>
          </cell>
          <cell r="G15">
            <v>894</v>
          </cell>
          <cell r="H15">
            <v>963</v>
          </cell>
          <cell r="I15">
            <v>946</v>
          </cell>
        </row>
        <row r="16">
          <cell r="A16">
            <v>12</v>
          </cell>
          <cell r="B16" t="str">
            <v>Lai Châu</v>
          </cell>
          <cell r="C16">
            <v>713</v>
          </cell>
          <cell r="D16">
            <v>723</v>
          </cell>
          <cell r="E16">
            <v>865</v>
          </cell>
          <cell r="F16">
            <v>796</v>
          </cell>
          <cell r="G16">
            <v>797</v>
          </cell>
          <cell r="H16">
            <v>854</v>
          </cell>
          <cell r="I16">
            <v>888</v>
          </cell>
        </row>
        <row r="17">
          <cell r="A17">
            <v>14</v>
          </cell>
          <cell r="B17" t="str">
            <v>Sơn La</v>
          </cell>
          <cell r="C17">
            <v>1272</v>
          </cell>
          <cell r="D17">
            <v>1371</v>
          </cell>
          <cell r="E17">
            <v>1435</v>
          </cell>
          <cell r="F17">
            <v>1511</v>
          </cell>
          <cell r="G17">
            <v>1590</v>
          </cell>
          <cell r="H17">
            <v>1822</v>
          </cell>
          <cell r="I17">
            <v>1752</v>
          </cell>
        </row>
        <row r="18">
          <cell r="A18">
            <v>15</v>
          </cell>
          <cell r="B18" t="str">
            <v>Yên Bái</v>
          </cell>
          <cell r="C18">
            <v>1096</v>
          </cell>
          <cell r="D18">
            <v>1133</v>
          </cell>
          <cell r="E18">
            <v>1173</v>
          </cell>
          <cell r="F18">
            <v>1268</v>
          </cell>
          <cell r="G18">
            <v>1352</v>
          </cell>
          <cell r="H18">
            <v>1531</v>
          </cell>
          <cell r="I18">
            <v>1546</v>
          </cell>
        </row>
        <row r="19">
          <cell r="A19">
            <v>17</v>
          </cell>
          <cell r="B19" t="str">
            <v>Hoà Bình</v>
          </cell>
          <cell r="C19">
            <v>1615</v>
          </cell>
          <cell r="D19">
            <v>1790</v>
          </cell>
          <cell r="E19">
            <v>1906</v>
          </cell>
          <cell r="F19">
            <v>1894</v>
          </cell>
          <cell r="G19">
            <v>1909</v>
          </cell>
          <cell r="H19">
            <v>2080</v>
          </cell>
          <cell r="I19">
            <v>2091</v>
          </cell>
        </row>
        <row r="20">
          <cell r="A20">
            <v>19</v>
          </cell>
          <cell r="B20" t="str">
            <v>Thái Nguyên</v>
          </cell>
          <cell r="C20">
            <v>2779</v>
          </cell>
          <cell r="D20">
            <v>3301</v>
          </cell>
          <cell r="E20">
            <v>3496</v>
          </cell>
          <cell r="F20">
            <v>3593</v>
          </cell>
          <cell r="G20">
            <v>3814</v>
          </cell>
          <cell r="H20">
            <v>4343</v>
          </cell>
          <cell r="I20">
            <v>4582</v>
          </cell>
        </row>
        <row r="21">
          <cell r="A21">
            <v>20</v>
          </cell>
          <cell r="B21" t="str">
            <v>Lạng Sơn</v>
          </cell>
          <cell r="C21">
            <v>1099</v>
          </cell>
          <cell r="D21">
            <v>1276</v>
          </cell>
          <cell r="E21">
            <v>1389</v>
          </cell>
          <cell r="F21">
            <v>1353</v>
          </cell>
          <cell r="G21">
            <v>1647</v>
          </cell>
          <cell r="H21">
            <v>1827</v>
          </cell>
          <cell r="I21">
            <v>1936</v>
          </cell>
        </row>
        <row r="22">
          <cell r="A22">
            <v>22</v>
          </cell>
          <cell r="B22" t="str">
            <v>Quảng Ninh</v>
          </cell>
          <cell r="C22">
            <v>5761</v>
          </cell>
          <cell r="D22">
            <v>6659</v>
          </cell>
          <cell r="E22">
            <v>6978</v>
          </cell>
          <cell r="F22">
            <v>7957</v>
          </cell>
          <cell r="G22">
            <v>7476</v>
          </cell>
          <cell r="H22">
            <v>8201</v>
          </cell>
          <cell r="I22">
            <v>8183</v>
          </cell>
        </row>
        <row r="23">
          <cell r="A23">
            <v>24</v>
          </cell>
          <cell r="B23" t="str">
            <v>Bắc Giang</v>
          </cell>
          <cell r="C23">
            <v>2576</v>
          </cell>
          <cell r="D23">
            <v>3444</v>
          </cell>
          <cell r="E23">
            <v>4418</v>
          </cell>
          <cell r="F23">
            <v>5058</v>
          </cell>
          <cell r="G23">
            <v>5685</v>
          </cell>
          <cell r="H23">
            <v>6376</v>
          </cell>
          <cell r="I23">
            <v>6437</v>
          </cell>
        </row>
        <row r="24">
          <cell r="A24">
            <v>25</v>
          </cell>
          <cell r="B24" t="str">
            <v>Phú Thọ</v>
          </cell>
          <cell r="C24">
            <v>3191</v>
          </cell>
          <cell r="D24">
            <v>3931</v>
          </cell>
          <cell r="E24">
            <v>4317</v>
          </cell>
          <cell r="F24">
            <v>4754</v>
          </cell>
          <cell r="G24">
            <v>4530</v>
          </cell>
          <cell r="H24">
            <v>5110</v>
          </cell>
          <cell r="I24">
            <v>5114</v>
          </cell>
        </row>
        <row r="25">
          <cell r="A25">
            <v>26</v>
          </cell>
          <cell r="B25" t="str">
            <v>Vĩnh Phúc</v>
          </cell>
          <cell r="C25">
            <v>3731</v>
          </cell>
          <cell r="D25">
            <v>4662</v>
          </cell>
          <cell r="E25">
            <v>5152</v>
          </cell>
          <cell r="F25">
            <v>5863</v>
          </cell>
          <cell r="G25">
            <v>6611</v>
          </cell>
          <cell r="H25">
            <v>7409</v>
          </cell>
          <cell r="I25">
            <v>7137</v>
          </cell>
        </row>
        <row r="26">
          <cell r="A26">
            <v>27</v>
          </cell>
          <cell r="B26" t="str">
            <v>Bắc Ninh</v>
          </cell>
          <cell r="C26">
            <v>5318</v>
          </cell>
          <cell r="D26">
            <v>6837</v>
          </cell>
          <cell r="E26">
            <v>7687</v>
          </cell>
          <cell r="F26">
            <v>8929</v>
          </cell>
          <cell r="G26">
            <v>10322</v>
          </cell>
          <cell r="H26">
            <v>10983</v>
          </cell>
          <cell r="I26">
            <v>11958</v>
          </cell>
        </row>
        <row r="27">
          <cell r="A27">
            <v>30</v>
          </cell>
          <cell r="B27" t="str">
            <v>Hải Dương</v>
          </cell>
          <cell r="C27">
            <v>5501</v>
          </cell>
          <cell r="D27">
            <v>6904</v>
          </cell>
          <cell r="E27">
            <v>7418</v>
          </cell>
          <cell r="F27">
            <v>7922</v>
          </cell>
          <cell r="G27">
            <v>8107</v>
          </cell>
          <cell r="H27">
            <v>8522</v>
          </cell>
          <cell r="I27">
            <v>8624</v>
          </cell>
        </row>
        <row r="28">
          <cell r="A28">
            <v>31</v>
          </cell>
          <cell r="B28" t="str">
            <v>Hải Phòng</v>
          </cell>
          <cell r="C28">
            <v>12262</v>
          </cell>
          <cell r="D28">
            <v>14114</v>
          </cell>
          <cell r="E28">
            <v>15541</v>
          </cell>
          <cell r="F28">
            <v>16012</v>
          </cell>
          <cell r="G28">
            <v>15733</v>
          </cell>
          <cell r="H28">
            <v>17499</v>
          </cell>
          <cell r="I28">
            <v>17340</v>
          </cell>
        </row>
        <row r="29">
          <cell r="A29">
            <v>33</v>
          </cell>
          <cell r="B29" t="str">
            <v>Hưng Yên</v>
          </cell>
          <cell r="C29">
            <v>3635</v>
          </cell>
          <cell r="D29">
            <v>4660</v>
          </cell>
          <cell r="E29">
            <v>5404</v>
          </cell>
          <cell r="F29">
            <v>5848</v>
          </cell>
          <cell r="G29">
            <v>6348</v>
          </cell>
          <cell r="H29">
            <v>7054</v>
          </cell>
          <cell r="I29">
            <v>7100</v>
          </cell>
        </row>
        <row r="30">
          <cell r="A30">
            <v>34</v>
          </cell>
          <cell r="B30" t="str">
            <v>Thái Bình</v>
          </cell>
          <cell r="C30">
            <v>3114</v>
          </cell>
          <cell r="D30">
            <v>3540</v>
          </cell>
          <cell r="E30">
            <v>4116</v>
          </cell>
          <cell r="F30">
            <v>4263</v>
          </cell>
          <cell r="G30">
            <v>4459</v>
          </cell>
          <cell r="H30">
            <v>5108</v>
          </cell>
          <cell r="I30">
            <v>5195</v>
          </cell>
        </row>
        <row r="31">
          <cell r="A31">
            <v>35</v>
          </cell>
          <cell r="B31" t="str">
            <v>Hà Nam</v>
          </cell>
          <cell r="C31">
            <v>2337</v>
          </cell>
          <cell r="D31">
            <v>3084</v>
          </cell>
          <cell r="E31">
            <v>3168</v>
          </cell>
          <cell r="F31">
            <v>3482</v>
          </cell>
          <cell r="G31">
            <v>3641</v>
          </cell>
          <cell r="H31">
            <v>4039</v>
          </cell>
          <cell r="I31">
            <v>4342</v>
          </cell>
        </row>
        <row r="32">
          <cell r="A32">
            <v>36</v>
          </cell>
          <cell r="B32" t="str">
            <v>Nam Định</v>
          </cell>
          <cell r="C32">
            <v>4115</v>
          </cell>
          <cell r="D32">
            <v>4959</v>
          </cell>
          <cell r="E32">
            <v>5281</v>
          </cell>
          <cell r="F32">
            <v>5796</v>
          </cell>
          <cell r="G32">
            <v>5796</v>
          </cell>
          <cell r="H32">
            <v>6393</v>
          </cell>
          <cell r="I32">
            <v>5996</v>
          </cell>
        </row>
        <row r="33">
          <cell r="A33">
            <v>37</v>
          </cell>
          <cell r="B33" t="str">
            <v>Ninh Bình</v>
          </cell>
          <cell r="C33">
            <v>2562</v>
          </cell>
          <cell r="D33">
            <v>2759</v>
          </cell>
          <cell r="E33">
            <v>2908</v>
          </cell>
          <cell r="F33">
            <v>3079</v>
          </cell>
          <cell r="G33">
            <v>3521</v>
          </cell>
          <cell r="H33">
            <v>3970</v>
          </cell>
          <cell r="I33">
            <v>4156</v>
          </cell>
        </row>
        <row r="34">
          <cell r="A34">
            <v>38</v>
          </cell>
          <cell r="B34" t="str">
            <v>Thanh Hoá</v>
          </cell>
          <cell r="C34">
            <v>6955</v>
          </cell>
          <cell r="D34">
            <v>8667</v>
          </cell>
          <cell r="E34">
            <v>9403</v>
          </cell>
          <cell r="F34">
            <v>10850</v>
          </cell>
          <cell r="G34">
            <v>11541</v>
          </cell>
          <cell r="H34">
            <v>13352</v>
          </cell>
          <cell r="I34">
            <v>13185</v>
          </cell>
        </row>
        <row r="35">
          <cell r="A35">
            <v>40</v>
          </cell>
          <cell r="B35" t="str">
            <v>Nghệ An</v>
          </cell>
          <cell r="C35">
            <v>7577</v>
          </cell>
          <cell r="D35">
            <v>8935</v>
          </cell>
          <cell r="E35">
            <v>10143</v>
          </cell>
          <cell r="F35">
            <v>10180</v>
          </cell>
          <cell r="G35">
            <v>10244</v>
          </cell>
          <cell r="H35">
            <v>11182</v>
          </cell>
          <cell r="I35">
            <v>11013</v>
          </cell>
        </row>
        <row r="36">
          <cell r="A36">
            <v>42</v>
          </cell>
          <cell r="B36" t="str">
            <v>Hà Tĩnh</v>
          </cell>
          <cell r="C36">
            <v>3382</v>
          </cell>
          <cell r="D36">
            <v>3785</v>
          </cell>
          <cell r="E36">
            <v>4060</v>
          </cell>
          <cell r="F36">
            <v>4156</v>
          </cell>
          <cell r="G36">
            <v>4024</v>
          </cell>
          <cell r="H36">
            <v>4328</v>
          </cell>
          <cell r="I36">
            <v>4295</v>
          </cell>
        </row>
        <row r="37">
          <cell r="A37">
            <v>44</v>
          </cell>
          <cell r="B37" t="str">
            <v>Quảng Bình</v>
          </cell>
          <cell r="C37">
            <v>2847</v>
          </cell>
          <cell r="D37">
            <v>3286</v>
          </cell>
          <cell r="E37">
            <v>3390</v>
          </cell>
          <cell r="F37">
            <v>3684</v>
          </cell>
          <cell r="G37">
            <v>3776</v>
          </cell>
          <cell r="H37">
            <v>4079</v>
          </cell>
          <cell r="I37">
            <v>4039</v>
          </cell>
        </row>
        <row r="38">
          <cell r="A38">
            <v>45</v>
          </cell>
          <cell r="B38" t="str">
            <v>Quảng Trị</v>
          </cell>
          <cell r="C38">
            <v>2085</v>
          </cell>
          <cell r="D38">
            <v>2255</v>
          </cell>
          <cell r="E38">
            <v>2305</v>
          </cell>
          <cell r="F38">
            <v>2325</v>
          </cell>
          <cell r="G38">
            <v>2391</v>
          </cell>
          <cell r="H38">
            <v>2676</v>
          </cell>
          <cell r="I38">
            <v>2749</v>
          </cell>
        </row>
        <row r="39">
          <cell r="A39">
            <v>46</v>
          </cell>
          <cell r="B39" t="str">
            <v>Thừa Thiên Huế</v>
          </cell>
          <cell r="C39">
            <v>3315</v>
          </cell>
          <cell r="D39">
            <v>3630</v>
          </cell>
          <cell r="E39">
            <v>3753</v>
          </cell>
          <cell r="F39">
            <v>3812</v>
          </cell>
          <cell r="G39">
            <v>4022</v>
          </cell>
          <cell r="H39">
            <v>4382</v>
          </cell>
          <cell r="I39">
            <v>4485</v>
          </cell>
        </row>
        <row r="40">
          <cell r="A40">
            <v>48</v>
          </cell>
          <cell r="B40" t="str">
            <v>Đà Nẵng</v>
          </cell>
          <cell r="C40">
            <v>13285</v>
          </cell>
          <cell r="D40">
            <v>15127</v>
          </cell>
          <cell r="E40">
            <v>15157</v>
          </cell>
          <cell r="F40">
            <v>17104</v>
          </cell>
          <cell r="G40">
            <v>18885</v>
          </cell>
          <cell r="H40">
            <v>20393</v>
          </cell>
          <cell r="I40">
            <v>20763</v>
          </cell>
        </row>
        <row r="41">
          <cell r="A41">
            <v>49</v>
          </cell>
          <cell r="B41" t="str">
            <v>Quảng Nam</v>
          </cell>
          <cell r="C41">
            <v>4536</v>
          </cell>
          <cell r="D41">
            <v>5222</v>
          </cell>
          <cell r="E41">
            <v>5842</v>
          </cell>
          <cell r="F41">
            <v>6936</v>
          </cell>
          <cell r="G41">
            <v>6806</v>
          </cell>
          <cell r="H41">
            <v>7416</v>
          </cell>
          <cell r="I41">
            <v>7171</v>
          </cell>
        </row>
        <row r="42">
          <cell r="A42">
            <v>51</v>
          </cell>
          <cell r="B42" t="str">
            <v>Quảng Ngãi</v>
          </cell>
          <cell r="C42">
            <v>3222</v>
          </cell>
          <cell r="D42">
            <v>3789</v>
          </cell>
          <cell r="E42">
            <v>4228</v>
          </cell>
          <cell r="F42">
            <v>4714</v>
          </cell>
          <cell r="G42">
            <v>4491</v>
          </cell>
          <cell r="H42">
            <v>4767</v>
          </cell>
          <cell r="I42">
            <v>4763</v>
          </cell>
        </row>
        <row r="43">
          <cell r="A43">
            <v>52</v>
          </cell>
          <cell r="B43" t="str">
            <v>Bình Định</v>
          </cell>
          <cell r="C43">
            <v>4383</v>
          </cell>
          <cell r="D43">
            <v>4999</v>
          </cell>
          <cell r="E43">
            <v>5697</v>
          </cell>
          <cell r="F43">
            <v>5793</v>
          </cell>
          <cell r="G43">
            <v>5850</v>
          </cell>
          <cell r="H43">
            <v>6302</v>
          </cell>
          <cell r="I43">
            <v>6812</v>
          </cell>
        </row>
        <row r="44">
          <cell r="A44">
            <v>54</v>
          </cell>
          <cell r="B44" t="str">
            <v>Phú Yên</v>
          </cell>
          <cell r="C44">
            <v>1746</v>
          </cell>
          <cell r="D44">
            <v>2026</v>
          </cell>
          <cell r="E44">
            <v>2118</v>
          </cell>
          <cell r="F44">
            <v>2250</v>
          </cell>
          <cell r="G44">
            <v>2448</v>
          </cell>
          <cell r="H44">
            <v>2606</v>
          </cell>
          <cell r="I44">
            <v>2608</v>
          </cell>
        </row>
        <row r="45">
          <cell r="A45">
            <v>56</v>
          </cell>
          <cell r="B45" t="str">
            <v>Khánh Hoà</v>
          </cell>
          <cell r="C45">
            <v>5994</v>
          </cell>
          <cell r="D45">
            <v>6993</v>
          </cell>
          <cell r="E45">
            <v>6941</v>
          </cell>
          <cell r="F45">
            <v>7780</v>
          </cell>
          <cell r="G45">
            <v>8419</v>
          </cell>
          <cell r="H45">
            <v>8881</v>
          </cell>
          <cell r="I45">
            <v>9365</v>
          </cell>
        </row>
        <row r="46">
          <cell r="A46">
            <v>58</v>
          </cell>
          <cell r="B46" t="str">
            <v>Ninh Thuận</v>
          </cell>
          <cell r="C46">
            <v>1379</v>
          </cell>
          <cell r="D46">
            <v>1588</v>
          </cell>
          <cell r="E46">
            <v>1715</v>
          </cell>
          <cell r="F46">
            <v>1879</v>
          </cell>
          <cell r="G46">
            <v>2180</v>
          </cell>
          <cell r="H46">
            <v>2504</v>
          </cell>
          <cell r="I46">
            <v>2476</v>
          </cell>
        </row>
        <row r="47">
          <cell r="A47">
            <v>60</v>
          </cell>
          <cell r="B47" t="str">
            <v>Bình Thuận</v>
          </cell>
          <cell r="C47">
            <v>3155</v>
          </cell>
          <cell r="D47">
            <v>3399</v>
          </cell>
          <cell r="E47">
            <v>3777</v>
          </cell>
          <cell r="F47">
            <v>4115</v>
          </cell>
          <cell r="G47">
            <v>4169</v>
          </cell>
          <cell r="H47">
            <v>4584</v>
          </cell>
          <cell r="I47">
            <v>4454</v>
          </cell>
        </row>
        <row r="48">
          <cell r="A48">
            <v>62</v>
          </cell>
          <cell r="B48" t="str">
            <v>Kon Tum</v>
          </cell>
          <cell r="C48">
            <v>1281</v>
          </cell>
          <cell r="D48">
            <v>1323</v>
          </cell>
          <cell r="E48">
            <v>1371</v>
          </cell>
          <cell r="F48">
            <v>1413</v>
          </cell>
          <cell r="G48">
            <v>1412</v>
          </cell>
          <cell r="H48">
            <v>1573</v>
          </cell>
          <cell r="I48">
            <v>1608</v>
          </cell>
        </row>
        <row r="49">
          <cell r="A49">
            <v>64</v>
          </cell>
          <cell r="B49" t="str">
            <v>Gia Lai</v>
          </cell>
          <cell r="C49">
            <v>2616</v>
          </cell>
          <cell r="D49">
            <v>2783</v>
          </cell>
          <cell r="E49">
            <v>3018</v>
          </cell>
          <cell r="F49">
            <v>3332</v>
          </cell>
          <cell r="G49">
            <v>3614</v>
          </cell>
          <cell r="H49">
            <v>3977</v>
          </cell>
          <cell r="I49">
            <v>4083</v>
          </cell>
        </row>
        <row r="50">
          <cell r="A50">
            <v>66</v>
          </cell>
          <cell r="B50" t="str">
            <v>Đắk Lắk</v>
          </cell>
          <cell r="C50">
            <v>4047</v>
          </cell>
          <cell r="D50">
            <v>4974</v>
          </cell>
          <cell r="E50">
            <v>5426</v>
          </cell>
          <cell r="F50">
            <v>5468</v>
          </cell>
          <cell r="G50">
            <v>5785</v>
          </cell>
          <cell r="H50">
            <v>6282</v>
          </cell>
          <cell r="I50">
            <v>6439</v>
          </cell>
        </row>
        <row r="51">
          <cell r="A51">
            <v>67</v>
          </cell>
          <cell r="B51" t="str">
            <v>Đắk Nông</v>
          </cell>
          <cell r="C51">
            <v>1215</v>
          </cell>
          <cell r="D51">
            <v>1240</v>
          </cell>
          <cell r="E51">
            <v>1233</v>
          </cell>
          <cell r="F51">
            <v>1466</v>
          </cell>
          <cell r="G51">
            <v>1701</v>
          </cell>
          <cell r="H51">
            <v>1893</v>
          </cell>
          <cell r="I51">
            <v>1995</v>
          </cell>
        </row>
        <row r="52">
          <cell r="A52">
            <v>68</v>
          </cell>
          <cell r="B52" t="str">
            <v>Lâm Đồng</v>
          </cell>
          <cell r="C52">
            <v>3810</v>
          </cell>
          <cell r="D52">
            <v>4340</v>
          </cell>
          <cell r="E52">
            <v>4627</v>
          </cell>
          <cell r="F52">
            <v>5232</v>
          </cell>
          <cell r="G52">
            <v>5389</v>
          </cell>
          <cell r="H52">
            <v>6107</v>
          </cell>
          <cell r="I52">
            <v>5925</v>
          </cell>
        </row>
        <row r="53">
          <cell r="A53">
            <v>70</v>
          </cell>
          <cell r="B53" t="str">
            <v>Bình Phước</v>
          </cell>
          <cell r="C53">
            <v>2764</v>
          </cell>
          <cell r="D53">
            <v>3410</v>
          </cell>
          <cell r="E53">
            <v>3702</v>
          </cell>
          <cell r="F53">
            <v>4413</v>
          </cell>
          <cell r="G53">
            <v>4564</v>
          </cell>
          <cell r="H53">
            <v>5134</v>
          </cell>
          <cell r="I53">
            <v>4907</v>
          </cell>
        </row>
        <row r="54">
          <cell r="A54">
            <v>72</v>
          </cell>
          <cell r="B54" t="str">
            <v>Tây Ninh</v>
          </cell>
          <cell r="C54">
            <v>2614</v>
          </cell>
          <cell r="D54">
            <v>3188</v>
          </cell>
          <cell r="E54">
            <v>3319</v>
          </cell>
          <cell r="F54">
            <v>3575</v>
          </cell>
          <cell r="G54">
            <v>3744</v>
          </cell>
          <cell r="H54">
            <v>4109</v>
          </cell>
          <cell r="I54">
            <v>4243</v>
          </cell>
        </row>
        <row r="55">
          <cell r="A55">
            <v>74</v>
          </cell>
          <cell r="B55" t="str">
            <v>Bình Dương</v>
          </cell>
          <cell r="C55">
            <v>15229</v>
          </cell>
          <cell r="D55">
            <v>17861</v>
          </cell>
          <cell r="E55">
            <v>20477</v>
          </cell>
          <cell r="F55">
            <v>24071</v>
          </cell>
          <cell r="G55">
            <v>27406</v>
          </cell>
          <cell r="H55">
            <v>31086</v>
          </cell>
          <cell r="I55">
            <v>34056</v>
          </cell>
        </row>
        <row r="56">
          <cell r="A56">
            <v>75</v>
          </cell>
          <cell r="B56" t="str">
            <v>Đồng Nai</v>
          </cell>
          <cell r="C56">
            <v>13130</v>
          </cell>
          <cell r="D56">
            <v>14450</v>
          </cell>
          <cell r="E56">
            <v>17497</v>
          </cell>
          <cell r="F56">
            <v>19176</v>
          </cell>
          <cell r="G56">
            <v>19409</v>
          </cell>
          <cell r="H56">
            <v>22945</v>
          </cell>
          <cell r="I56">
            <v>23398</v>
          </cell>
        </row>
        <row r="57">
          <cell r="A57">
            <v>77</v>
          </cell>
          <cell r="B57" t="str">
            <v>Bà Rịa-Vũng Tàu(***)</v>
          </cell>
          <cell r="C57">
            <v>7575</v>
          </cell>
          <cell r="D57">
            <v>7479</v>
          </cell>
          <cell r="E57">
            <v>8412</v>
          </cell>
          <cell r="F57">
            <v>8957</v>
          </cell>
          <cell r="G57">
            <v>9680</v>
          </cell>
          <cell r="H57">
            <v>10412</v>
          </cell>
          <cell r="I57">
            <v>10621</v>
          </cell>
        </row>
        <row r="58">
          <cell r="A58">
            <v>79</v>
          </cell>
          <cell r="B58" t="str">
            <v>TP Hồ Chí Minh</v>
          </cell>
          <cell r="C58">
            <v>171250</v>
          </cell>
          <cell r="D58">
            <v>180322</v>
          </cell>
          <cell r="E58">
            <v>198979</v>
          </cell>
          <cell r="F58">
            <v>218588</v>
          </cell>
          <cell r="G58">
            <v>216293</v>
          </cell>
          <cell r="H58">
            <v>213721</v>
          </cell>
          <cell r="I58">
            <v>219090</v>
          </cell>
        </row>
        <row r="59">
          <cell r="A59">
            <v>80</v>
          </cell>
          <cell r="B59" t="str">
            <v>Long An</v>
          </cell>
          <cell r="C59">
            <v>5110</v>
          </cell>
          <cell r="D59">
            <v>5991</v>
          </cell>
          <cell r="E59">
            <v>6646</v>
          </cell>
          <cell r="F59">
            <v>7278</v>
          </cell>
          <cell r="G59">
            <v>7974</v>
          </cell>
          <cell r="H59">
            <v>9067</v>
          </cell>
          <cell r="I59">
            <v>9582</v>
          </cell>
        </row>
        <row r="60">
          <cell r="A60">
            <v>82</v>
          </cell>
          <cell r="B60" t="str">
            <v>Tiền Giang</v>
          </cell>
          <cell r="C60">
            <v>3541</v>
          </cell>
          <cell r="D60">
            <v>3884</v>
          </cell>
          <cell r="E60">
            <v>4137</v>
          </cell>
          <cell r="F60">
            <v>4385</v>
          </cell>
          <cell r="G60">
            <v>4426</v>
          </cell>
          <cell r="H60">
            <v>4659</v>
          </cell>
          <cell r="I60">
            <v>4848</v>
          </cell>
        </row>
        <row r="61">
          <cell r="A61">
            <v>83</v>
          </cell>
          <cell r="B61" t="str">
            <v>Bến Tre</v>
          </cell>
          <cell r="C61">
            <v>2094</v>
          </cell>
          <cell r="D61">
            <v>2364</v>
          </cell>
          <cell r="E61">
            <v>2680</v>
          </cell>
          <cell r="F61">
            <v>3192</v>
          </cell>
          <cell r="G61">
            <v>3068</v>
          </cell>
          <cell r="H61">
            <v>3327</v>
          </cell>
          <cell r="I61">
            <v>3248</v>
          </cell>
        </row>
        <row r="62">
          <cell r="A62">
            <v>84</v>
          </cell>
          <cell r="B62" t="str">
            <v>Trà Vinh</v>
          </cell>
          <cell r="C62">
            <v>1417</v>
          </cell>
          <cell r="D62">
            <v>1534</v>
          </cell>
          <cell r="E62">
            <v>1591</v>
          </cell>
          <cell r="F62">
            <v>1843</v>
          </cell>
          <cell r="G62">
            <v>1931</v>
          </cell>
          <cell r="H62">
            <v>2104</v>
          </cell>
          <cell r="I62">
            <v>2189</v>
          </cell>
        </row>
        <row r="63">
          <cell r="A63">
            <v>86</v>
          </cell>
          <cell r="B63" t="str">
            <v>Vĩnh Long</v>
          </cell>
          <cell r="C63">
            <v>1876</v>
          </cell>
          <cell r="D63">
            <v>2020</v>
          </cell>
          <cell r="E63">
            <v>2096</v>
          </cell>
          <cell r="F63">
            <v>2188</v>
          </cell>
          <cell r="G63">
            <v>2237</v>
          </cell>
          <cell r="H63">
            <v>2397</v>
          </cell>
          <cell r="I63">
            <v>2509</v>
          </cell>
        </row>
        <row r="64">
          <cell r="A64">
            <v>87</v>
          </cell>
          <cell r="B64" t="str">
            <v>Đồng Tháp</v>
          </cell>
          <cell r="C64">
            <v>2420</v>
          </cell>
          <cell r="D64">
            <v>2809</v>
          </cell>
          <cell r="E64">
            <v>2944</v>
          </cell>
          <cell r="F64">
            <v>3155</v>
          </cell>
          <cell r="G64">
            <v>3273</v>
          </cell>
          <cell r="H64">
            <v>3445</v>
          </cell>
          <cell r="I64">
            <v>3648</v>
          </cell>
        </row>
        <row r="65">
          <cell r="A65">
            <v>89</v>
          </cell>
          <cell r="B65" t="str">
            <v>An Giang</v>
          </cell>
          <cell r="C65">
            <v>3023</v>
          </cell>
          <cell r="D65">
            <v>3589</v>
          </cell>
          <cell r="E65">
            <v>3926</v>
          </cell>
          <cell r="F65">
            <v>3897</v>
          </cell>
          <cell r="G65">
            <v>3918</v>
          </cell>
          <cell r="H65">
            <v>4282</v>
          </cell>
          <cell r="I65">
            <v>4500</v>
          </cell>
        </row>
        <row r="66">
          <cell r="A66">
            <v>91</v>
          </cell>
          <cell r="B66" t="str">
            <v>Kiên Giang</v>
          </cell>
          <cell r="C66">
            <v>4791</v>
          </cell>
          <cell r="D66">
            <v>5488</v>
          </cell>
          <cell r="E66">
            <v>6390</v>
          </cell>
          <cell r="F66">
            <v>6769</v>
          </cell>
          <cell r="G66">
            <v>6608</v>
          </cell>
          <cell r="H66">
            <v>7252</v>
          </cell>
          <cell r="I66">
            <v>7619</v>
          </cell>
        </row>
        <row r="67">
          <cell r="A67">
            <v>92</v>
          </cell>
          <cell r="B67" t="str">
            <v>Cần Thơ</v>
          </cell>
          <cell r="C67">
            <v>5832</v>
          </cell>
          <cell r="D67">
            <v>7017</v>
          </cell>
          <cell r="E67">
            <v>7045</v>
          </cell>
          <cell r="F67">
            <v>8087</v>
          </cell>
          <cell r="G67">
            <v>8225</v>
          </cell>
          <cell r="H67">
            <v>9356</v>
          </cell>
          <cell r="I67">
            <v>9660</v>
          </cell>
        </row>
        <row r="68">
          <cell r="A68">
            <v>93</v>
          </cell>
          <cell r="B68" t="str">
            <v>Hậu Giang</v>
          </cell>
          <cell r="C68">
            <v>1551</v>
          </cell>
          <cell r="D68">
            <v>1579</v>
          </cell>
          <cell r="E68">
            <v>1629</v>
          </cell>
          <cell r="F68">
            <v>1727</v>
          </cell>
          <cell r="G68">
            <v>1820</v>
          </cell>
          <cell r="H68">
            <v>2054</v>
          </cell>
          <cell r="I68">
            <v>2157</v>
          </cell>
        </row>
        <row r="69">
          <cell r="A69">
            <v>94</v>
          </cell>
          <cell r="B69" t="str">
            <v>Sóc Trăng</v>
          </cell>
          <cell r="C69">
            <v>1693</v>
          </cell>
          <cell r="D69">
            <v>1897</v>
          </cell>
          <cell r="E69">
            <v>2046</v>
          </cell>
          <cell r="F69">
            <v>2260</v>
          </cell>
          <cell r="G69">
            <v>2365</v>
          </cell>
          <cell r="H69">
            <v>2491</v>
          </cell>
          <cell r="I69">
            <v>2724</v>
          </cell>
        </row>
        <row r="70">
          <cell r="A70">
            <v>95</v>
          </cell>
          <cell r="B70" t="str">
            <v>Bạc Liêu</v>
          </cell>
          <cell r="C70">
            <v>1225</v>
          </cell>
          <cell r="D70">
            <v>1426</v>
          </cell>
          <cell r="E70">
            <v>1550</v>
          </cell>
          <cell r="F70">
            <v>1858</v>
          </cell>
          <cell r="G70">
            <v>1832</v>
          </cell>
          <cell r="H70">
            <v>2026</v>
          </cell>
          <cell r="I70">
            <v>2135</v>
          </cell>
        </row>
        <row r="71">
          <cell r="A71">
            <v>96</v>
          </cell>
          <cell r="B71" t="str">
            <v>Cà Mau</v>
          </cell>
          <cell r="C71">
            <v>2813</v>
          </cell>
          <cell r="D71">
            <v>3170</v>
          </cell>
          <cell r="E71">
            <v>3287</v>
          </cell>
          <cell r="F71">
            <v>3345</v>
          </cell>
          <cell r="G71">
            <v>3265</v>
          </cell>
          <cell r="H71">
            <v>3459</v>
          </cell>
          <cell r="I71">
            <v>3662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3327.6</v>
          </cell>
          <cell r="D9">
            <v>6305.2</v>
          </cell>
          <cell r="E9">
            <v>79140.5</v>
          </cell>
          <cell r="F9">
            <v>0</v>
          </cell>
          <cell r="G9">
            <v>0</v>
          </cell>
          <cell r="H9">
            <v>0</v>
          </cell>
          <cell r="I9">
            <v>9676.7000000000007</v>
          </cell>
          <cell r="J9">
            <v>334</v>
          </cell>
        </row>
        <row r="10">
          <cell r="A10" t="str">
            <v>02</v>
          </cell>
          <cell r="B10" t="str">
            <v>Hà Giang</v>
          </cell>
          <cell r="C10">
            <v>2198.6</v>
          </cell>
          <cell r="D10">
            <v>715.5</v>
          </cell>
          <cell r="E10">
            <v>10721.4</v>
          </cell>
          <cell r="F10">
            <v>1057.8</v>
          </cell>
          <cell r="G10">
            <v>2941.9</v>
          </cell>
          <cell r="H10">
            <v>550</v>
          </cell>
          <cell r="I10">
            <v>8971.6</v>
          </cell>
          <cell r="J10">
            <v>5587.5</v>
          </cell>
        </row>
        <row r="11">
          <cell r="A11" t="str">
            <v>04</v>
          </cell>
          <cell r="B11" t="str">
            <v>Cao Bằng</v>
          </cell>
          <cell r="C11">
            <v>450.5</v>
          </cell>
          <cell r="D11">
            <v>118.8</v>
          </cell>
          <cell r="E11">
            <v>23015.4</v>
          </cell>
          <cell r="F11">
            <v>2331.6</v>
          </cell>
          <cell r="G11">
            <v>750.9</v>
          </cell>
          <cell r="H11">
            <v>362.4</v>
          </cell>
          <cell r="I11">
            <v>5624.1</v>
          </cell>
          <cell r="J11">
            <v>793.5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817.6</v>
          </cell>
        </row>
        <row r="14">
          <cell r="A14">
            <v>10</v>
          </cell>
          <cell r="B14" t="str">
            <v>Lào Cai</v>
          </cell>
          <cell r="C14">
            <v>12815.2</v>
          </cell>
          <cell r="D14">
            <v>1155.7</v>
          </cell>
          <cell r="E14">
            <v>29579</v>
          </cell>
          <cell r="F14">
            <v>184.4</v>
          </cell>
          <cell r="G14">
            <v>727</v>
          </cell>
          <cell r="H14">
            <v>519.29999999999995</v>
          </cell>
          <cell r="I14">
            <v>5130.2</v>
          </cell>
          <cell r="J14">
            <v>602.29999999999995</v>
          </cell>
        </row>
        <row r="15">
          <cell r="A15">
            <v>11</v>
          </cell>
          <cell r="B15" t="str">
            <v>Điện Biên</v>
          </cell>
          <cell r="C15">
            <v>200.5</v>
          </cell>
          <cell r="D15">
            <v>722.6</v>
          </cell>
          <cell r="E15">
            <v>2103.5</v>
          </cell>
          <cell r="F15">
            <v>74.2</v>
          </cell>
          <cell r="G15">
            <v>1227.0999999999999</v>
          </cell>
          <cell r="H15">
            <v>1169.4000000000001</v>
          </cell>
          <cell r="I15">
            <v>1050.5999999999999</v>
          </cell>
          <cell r="J15">
            <v>1431.3</v>
          </cell>
        </row>
        <row r="16">
          <cell r="A16">
            <v>12</v>
          </cell>
          <cell r="B16" t="str">
            <v>Lai Châu</v>
          </cell>
          <cell r="C16">
            <v>192.2</v>
          </cell>
          <cell r="D16">
            <v>321.5</v>
          </cell>
          <cell r="E16">
            <v>8766.2000000000007</v>
          </cell>
          <cell r="F16">
            <v>71.599999999999994</v>
          </cell>
          <cell r="G16">
            <v>4646.8</v>
          </cell>
          <cell r="H16">
            <v>144.6</v>
          </cell>
          <cell r="I16">
            <v>250.2</v>
          </cell>
          <cell r="J16">
            <v>231.4</v>
          </cell>
        </row>
        <row r="17">
          <cell r="A17">
            <v>14</v>
          </cell>
          <cell r="B17" t="str">
            <v>Sơn La</v>
          </cell>
          <cell r="C17">
            <v>1522.3</v>
          </cell>
          <cell r="D17">
            <v>3509</v>
          </cell>
          <cell r="E17">
            <v>9526.6</v>
          </cell>
          <cell r="F17">
            <v>878</v>
          </cell>
          <cell r="G17">
            <v>604.4</v>
          </cell>
          <cell r="H17">
            <v>280.5</v>
          </cell>
          <cell r="I17">
            <v>14334.7</v>
          </cell>
          <cell r="J17">
            <v>2820</v>
          </cell>
        </row>
        <row r="18">
          <cell r="A18">
            <v>15</v>
          </cell>
          <cell r="B18" t="str">
            <v>Yên Bái</v>
          </cell>
          <cell r="C18">
            <v>2623.4</v>
          </cell>
          <cell r="D18">
            <v>3138.6</v>
          </cell>
          <cell r="E18">
            <v>19005.3</v>
          </cell>
          <cell r="F18">
            <v>702.5</v>
          </cell>
          <cell r="G18">
            <v>2160.3000000000002</v>
          </cell>
          <cell r="H18">
            <v>185.8</v>
          </cell>
          <cell r="I18">
            <v>845</v>
          </cell>
          <cell r="J18">
            <v>1355.2</v>
          </cell>
        </row>
        <row r="19">
          <cell r="A19">
            <v>17</v>
          </cell>
          <cell r="B19" t="str">
            <v>Hoà Bình</v>
          </cell>
          <cell r="C19">
            <v>4014.4</v>
          </cell>
          <cell r="D19">
            <v>10459.700000000001</v>
          </cell>
          <cell r="E19">
            <v>15463.7</v>
          </cell>
          <cell r="F19">
            <v>1668.9</v>
          </cell>
          <cell r="G19">
            <v>1391.6</v>
          </cell>
          <cell r="H19">
            <v>193.1</v>
          </cell>
          <cell r="I19">
            <v>2336.1</v>
          </cell>
          <cell r="J19">
            <v>1712.5</v>
          </cell>
        </row>
        <row r="20">
          <cell r="A20">
            <v>19</v>
          </cell>
          <cell r="B20" t="str">
            <v>Thái Nguyên</v>
          </cell>
          <cell r="C20">
            <v>1543.6</v>
          </cell>
          <cell r="D20">
            <v>2723.2</v>
          </cell>
          <cell r="E20">
            <v>48.3</v>
          </cell>
          <cell r="F20">
            <v>1561.5</v>
          </cell>
          <cell r="G20">
            <v>477.6</v>
          </cell>
          <cell r="H20">
            <v>466.7</v>
          </cell>
          <cell r="I20">
            <v>0</v>
          </cell>
          <cell r="J20">
            <v>17700</v>
          </cell>
        </row>
        <row r="21">
          <cell r="A21">
            <v>20</v>
          </cell>
          <cell r="B21" t="str">
            <v>Lạng Sơn</v>
          </cell>
          <cell r="C21">
            <v>4045.3</v>
          </cell>
          <cell r="D21">
            <v>11.5</v>
          </cell>
          <cell r="E21">
            <v>2237.6</v>
          </cell>
          <cell r="F21">
            <v>863.7</v>
          </cell>
          <cell r="G21">
            <v>933.1</v>
          </cell>
          <cell r="H21">
            <v>809.1</v>
          </cell>
          <cell r="I21">
            <v>68.5</v>
          </cell>
          <cell r="J21">
            <v>60.2</v>
          </cell>
        </row>
        <row r="22">
          <cell r="A22">
            <v>22</v>
          </cell>
          <cell r="B22" t="str">
            <v>Quảng Ninh</v>
          </cell>
          <cell r="C22">
            <v>200</v>
          </cell>
          <cell r="D22">
            <v>126</v>
          </cell>
          <cell r="E22">
            <v>3926</v>
          </cell>
          <cell r="F22">
            <v>20</v>
          </cell>
          <cell r="G22">
            <v>114</v>
          </cell>
          <cell r="H22">
            <v>23.5</v>
          </cell>
          <cell r="I22">
            <v>28410.7</v>
          </cell>
          <cell r="J22">
            <v>60.6</v>
          </cell>
        </row>
        <row r="23">
          <cell r="A23">
            <v>24</v>
          </cell>
          <cell r="B23" t="str">
            <v>Bắc Giang</v>
          </cell>
          <cell r="C23">
            <v>638</v>
          </cell>
          <cell r="D23">
            <v>107.3</v>
          </cell>
          <cell r="E23">
            <v>2241.9</v>
          </cell>
          <cell r="F23">
            <v>340</v>
          </cell>
          <cell r="G23">
            <v>93.2</v>
          </cell>
          <cell r="H23">
            <v>0</v>
          </cell>
          <cell r="I23">
            <v>2016.1</v>
          </cell>
          <cell r="J23">
            <v>421.9</v>
          </cell>
        </row>
        <row r="24">
          <cell r="A24">
            <v>25</v>
          </cell>
          <cell r="B24" t="str">
            <v>Phú Thọ</v>
          </cell>
          <cell r="C24">
            <v>2883.9</v>
          </cell>
          <cell r="D24">
            <v>3485.5</v>
          </cell>
          <cell r="E24">
            <v>107844.8</v>
          </cell>
          <cell r="F24">
            <v>108</v>
          </cell>
          <cell r="G24">
            <v>5339.9</v>
          </cell>
          <cell r="H24">
            <v>1680.9</v>
          </cell>
          <cell r="I24">
            <v>495.7</v>
          </cell>
          <cell r="J24">
            <v>23.9</v>
          </cell>
        </row>
        <row r="25">
          <cell r="A25">
            <v>26</v>
          </cell>
          <cell r="B25" t="str">
            <v>Vĩnh Phúc</v>
          </cell>
          <cell r="C25">
            <v>11645.7</v>
          </cell>
          <cell r="D25">
            <v>2391</v>
          </cell>
          <cell r="E25">
            <v>0</v>
          </cell>
          <cell r="F25">
            <v>0</v>
          </cell>
          <cell r="G25">
            <v>2215.5</v>
          </cell>
          <cell r="H25">
            <v>1528.2</v>
          </cell>
          <cell r="I25">
            <v>12951.9</v>
          </cell>
          <cell r="J25">
            <v>55.6</v>
          </cell>
        </row>
        <row r="26">
          <cell r="A26">
            <v>27</v>
          </cell>
          <cell r="B26" t="str">
            <v>Bắc Ninh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745.8</v>
          </cell>
          <cell r="H26">
            <v>0</v>
          </cell>
          <cell r="I26">
            <v>0</v>
          </cell>
          <cell r="J26">
            <v>0</v>
          </cell>
        </row>
        <row r="27">
          <cell r="A27">
            <v>30</v>
          </cell>
          <cell r="B27" t="str">
            <v>Hải Dương</v>
          </cell>
          <cell r="C27">
            <v>9897</v>
          </cell>
          <cell r="D27">
            <v>3621</v>
          </cell>
          <cell r="E27">
            <v>26889</v>
          </cell>
          <cell r="F27">
            <v>8.8000000000000007</v>
          </cell>
          <cell r="G27">
            <v>0</v>
          </cell>
          <cell r="H27">
            <v>686</v>
          </cell>
          <cell r="I27">
            <v>1000</v>
          </cell>
          <cell r="J27">
            <v>0</v>
          </cell>
        </row>
        <row r="28">
          <cell r="A28">
            <v>31</v>
          </cell>
          <cell r="B28" t="str">
            <v>Hải Phòng</v>
          </cell>
          <cell r="C28">
            <v>618.9</v>
          </cell>
          <cell r="D28">
            <v>1330</v>
          </cell>
          <cell r="E28">
            <v>5110</v>
          </cell>
          <cell r="F28">
            <v>0</v>
          </cell>
          <cell r="G28">
            <v>0</v>
          </cell>
          <cell r="H28">
            <v>0</v>
          </cell>
          <cell r="I28">
            <v>59.6</v>
          </cell>
          <cell r="J28">
            <v>0</v>
          </cell>
        </row>
        <row r="29">
          <cell r="A29">
            <v>33</v>
          </cell>
          <cell r="B29" t="str">
            <v>Hưng Yên</v>
          </cell>
          <cell r="C29">
            <v>3444</v>
          </cell>
          <cell r="D29">
            <v>2878.5</v>
          </cell>
          <cell r="E29">
            <v>46.2</v>
          </cell>
          <cell r="F29">
            <v>0</v>
          </cell>
          <cell r="G29">
            <v>172.1</v>
          </cell>
          <cell r="H29">
            <v>863.5</v>
          </cell>
          <cell r="I29">
            <v>23010.7</v>
          </cell>
          <cell r="J29">
            <v>583</v>
          </cell>
        </row>
        <row r="30">
          <cell r="A30">
            <v>34</v>
          </cell>
          <cell r="B30" t="str">
            <v>Thái Bình</v>
          </cell>
          <cell r="C30">
            <v>41998</v>
          </cell>
          <cell r="D30">
            <v>63244.5</v>
          </cell>
          <cell r="E30">
            <v>2500</v>
          </cell>
          <cell r="F30">
            <v>0</v>
          </cell>
          <cell r="G30">
            <v>11785.4</v>
          </cell>
          <cell r="H30">
            <v>10915</v>
          </cell>
          <cell r="I30">
            <v>8351.7000000000007</v>
          </cell>
          <cell r="J30">
            <v>1898.7</v>
          </cell>
        </row>
        <row r="31">
          <cell r="A31">
            <v>35</v>
          </cell>
          <cell r="B31" t="str">
            <v>Hà Nam</v>
          </cell>
          <cell r="C31">
            <v>22883.9</v>
          </cell>
          <cell r="D31">
            <v>22422.2</v>
          </cell>
          <cell r="E31">
            <v>1423</v>
          </cell>
          <cell r="F31">
            <v>0</v>
          </cell>
          <cell r="G31">
            <v>0</v>
          </cell>
          <cell r="H31">
            <v>466.6</v>
          </cell>
          <cell r="I31">
            <v>0</v>
          </cell>
          <cell r="J31">
            <v>0</v>
          </cell>
        </row>
        <row r="32">
          <cell r="A32">
            <v>36</v>
          </cell>
          <cell r="B32" t="str">
            <v>Nam Định</v>
          </cell>
          <cell r="C32">
            <v>83326</v>
          </cell>
          <cell r="D32">
            <v>70085</v>
          </cell>
          <cell r="E32">
            <v>32710</v>
          </cell>
          <cell r="F32">
            <v>0</v>
          </cell>
          <cell r="G32">
            <v>9305</v>
          </cell>
          <cell r="H32">
            <v>14934.4</v>
          </cell>
          <cell r="I32">
            <v>1960</v>
          </cell>
          <cell r="J32">
            <v>19.8</v>
          </cell>
        </row>
        <row r="33">
          <cell r="A33">
            <v>37</v>
          </cell>
          <cell r="B33" t="str">
            <v>Ninh Bình</v>
          </cell>
          <cell r="C33">
            <v>19201.2</v>
          </cell>
          <cell r="D33">
            <v>22183</v>
          </cell>
          <cell r="E33">
            <v>8209</v>
          </cell>
          <cell r="F33">
            <v>2</v>
          </cell>
          <cell r="G33">
            <v>0</v>
          </cell>
          <cell r="H33">
            <v>354</v>
          </cell>
          <cell r="I33">
            <v>18153.5</v>
          </cell>
          <cell r="J33">
            <v>9586.2000000000007</v>
          </cell>
        </row>
        <row r="34">
          <cell r="A34">
            <v>38</v>
          </cell>
          <cell r="B34" t="str">
            <v>Thanh Hoá</v>
          </cell>
          <cell r="C34">
            <v>10247.200000000001</v>
          </cell>
          <cell r="D34">
            <v>25159.599999999999</v>
          </cell>
          <cell r="E34">
            <v>189427.4</v>
          </cell>
          <cell r="F34">
            <v>14501.8</v>
          </cell>
          <cell r="G34">
            <v>164.3</v>
          </cell>
          <cell r="H34">
            <v>1937.8</v>
          </cell>
          <cell r="I34">
            <v>2980.9</v>
          </cell>
          <cell r="J34">
            <v>703.5</v>
          </cell>
        </row>
        <row r="35">
          <cell r="A35">
            <v>40</v>
          </cell>
          <cell r="B35" t="str">
            <v>Nghệ An</v>
          </cell>
          <cell r="C35">
            <v>25879.4</v>
          </cell>
          <cell r="D35">
            <v>31939.4</v>
          </cell>
          <cell r="E35">
            <v>84880.1</v>
          </cell>
          <cell r="F35">
            <v>6326.8</v>
          </cell>
          <cell r="G35">
            <v>27559.1</v>
          </cell>
          <cell r="H35">
            <v>55412.5</v>
          </cell>
          <cell r="I35">
            <v>1433</v>
          </cell>
          <cell r="J35">
            <v>3925</v>
          </cell>
        </row>
        <row r="36">
          <cell r="A36">
            <v>42</v>
          </cell>
          <cell r="B36" t="str">
            <v>Hà Tĩnh</v>
          </cell>
          <cell r="C36">
            <v>11843.8</v>
          </cell>
          <cell r="D36">
            <v>13510.4</v>
          </cell>
          <cell r="E36">
            <v>14478</v>
          </cell>
          <cell r="F36">
            <v>9849.4</v>
          </cell>
          <cell r="G36">
            <v>6242.1</v>
          </cell>
          <cell r="H36">
            <v>13511.8</v>
          </cell>
          <cell r="I36">
            <v>942.4</v>
          </cell>
          <cell r="J36">
            <v>510.3</v>
          </cell>
        </row>
        <row r="37">
          <cell r="A37">
            <v>44</v>
          </cell>
          <cell r="B37" t="str">
            <v>Quảng Bình</v>
          </cell>
          <cell r="C37">
            <v>9628</v>
          </cell>
          <cell r="D37">
            <v>3729.1</v>
          </cell>
          <cell r="E37">
            <v>180</v>
          </cell>
          <cell r="F37">
            <v>2293.4</v>
          </cell>
          <cell r="G37">
            <v>4771</v>
          </cell>
          <cell r="H37">
            <v>3756.8</v>
          </cell>
          <cell r="I37">
            <v>18724.3</v>
          </cell>
          <cell r="J37">
            <v>4892.2</v>
          </cell>
        </row>
        <row r="38">
          <cell r="A38">
            <v>45</v>
          </cell>
          <cell r="B38" t="str">
            <v>Quảng Trị</v>
          </cell>
          <cell r="C38">
            <v>1278.5</v>
          </cell>
          <cell r="D38">
            <v>6120.2</v>
          </cell>
          <cell r="E38">
            <v>7382</v>
          </cell>
          <cell r="F38">
            <v>5481.5</v>
          </cell>
          <cell r="G38">
            <v>4343.2</v>
          </cell>
          <cell r="H38">
            <v>777.1</v>
          </cell>
          <cell r="I38">
            <v>0</v>
          </cell>
          <cell r="J38">
            <v>15</v>
          </cell>
        </row>
        <row r="39">
          <cell r="A39">
            <v>46</v>
          </cell>
          <cell r="B39" t="str">
            <v>Thừa Thiên Huế</v>
          </cell>
          <cell r="C39">
            <v>826.6</v>
          </cell>
          <cell r="D39">
            <v>8719.9</v>
          </cell>
          <cell r="E39">
            <v>4022.4</v>
          </cell>
          <cell r="F39">
            <v>0</v>
          </cell>
          <cell r="G39">
            <v>17962.400000000001</v>
          </cell>
          <cell r="H39">
            <v>82</v>
          </cell>
          <cell r="I39">
            <v>7484.1</v>
          </cell>
          <cell r="J39">
            <v>2151</v>
          </cell>
        </row>
        <row r="40">
          <cell r="A40">
            <v>48</v>
          </cell>
          <cell r="B40" t="str">
            <v>Đà Nẵng</v>
          </cell>
          <cell r="C40">
            <v>352.3</v>
          </cell>
          <cell r="D40">
            <v>140</v>
          </cell>
          <cell r="E40">
            <v>1305</v>
          </cell>
          <cell r="F40">
            <v>15</v>
          </cell>
          <cell r="G40">
            <v>297.3</v>
          </cell>
          <cell r="H40">
            <v>118.2</v>
          </cell>
          <cell r="I40">
            <v>1495.3</v>
          </cell>
          <cell r="J40">
            <v>32.1</v>
          </cell>
        </row>
        <row r="41">
          <cell r="A41">
            <v>49</v>
          </cell>
          <cell r="B41" t="str">
            <v>Quảng Nam</v>
          </cell>
          <cell r="C41">
            <v>3776.7</v>
          </cell>
          <cell r="D41">
            <v>2256</v>
          </cell>
          <cell r="E41">
            <v>14002</v>
          </cell>
          <cell r="F41">
            <v>562</v>
          </cell>
          <cell r="G41">
            <v>7877.8</v>
          </cell>
          <cell r="H41">
            <v>4532</v>
          </cell>
          <cell r="I41">
            <v>10280.700000000001</v>
          </cell>
          <cell r="J41">
            <v>7000.6</v>
          </cell>
        </row>
        <row r="42">
          <cell r="A42">
            <v>51</v>
          </cell>
          <cell r="B42" t="str">
            <v>Quảng Ngãi</v>
          </cell>
          <cell r="C42">
            <v>4233.3999999999996</v>
          </cell>
          <cell r="D42">
            <v>1863.7</v>
          </cell>
          <cell r="E42">
            <v>10092</v>
          </cell>
          <cell r="F42">
            <v>478.9</v>
          </cell>
          <cell r="G42">
            <v>3699.6</v>
          </cell>
          <cell r="H42">
            <v>3949.4</v>
          </cell>
          <cell r="I42">
            <v>10516.6</v>
          </cell>
          <cell r="J42">
            <v>1790</v>
          </cell>
        </row>
        <row r="43">
          <cell r="A43">
            <v>52</v>
          </cell>
          <cell r="B43" t="str">
            <v>Bình Định</v>
          </cell>
          <cell r="C43">
            <v>9943.4</v>
          </cell>
          <cell r="D43">
            <v>2354</v>
          </cell>
          <cell r="E43">
            <v>141417</v>
          </cell>
          <cell r="F43">
            <v>5178</v>
          </cell>
          <cell r="G43">
            <v>4128.2</v>
          </cell>
          <cell r="H43">
            <v>3567.2</v>
          </cell>
          <cell r="I43">
            <v>30567.3</v>
          </cell>
          <cell r="J43">
            <v>1737</v>
          </cell>
        </row>
        <row r="44">
          <cell r="A44">
            <v>54</v>
          </cell>
          <cell r="B44" t="str">
            <v>Phú Yên</v>
          </cell>
          <cell r="C44">
            <v>4004</v>
          </cell>
          <cell r="D44">
            <v>3086.7</v>
          </cell>
          <cell r="E44">
            <v>4251.2</v>
          </cell>
          <cell r="F44">
            <v>626.1</v>
          </cell>
          <cell r="G44">
            <v>1456</v>
          </cell>
          <cell r="H44">
            <v>1249.4000000000001</v>
          </cell>
          <cell r="I44">
            <v>1722.3</v>
          </cell>
          <cell r="J44">
            <v>1208.5</v>
          </cell>
        </row>
        <row r="45">
          <cell r="A45">
            <v>56</v>
          </cell>
          <cell r="B45" t="str">
            <v>Khánh Hoà</v>
          </cell>
          <cell r="C45">
            <v>10010</v>
          </cell>
          <cell r="D45">
            <v>6830</v>
          </cell>
          <cell r="E45">
            <v>51806.1</v>
          </cell>
          <cell r="F45">
            <v>5155.2</v>
          </cell>
          <cell r="G45">
            <v>1754</v>
          </cell>
          <cell r="H45">
            <v>2130</v>
          </cell>
          <cell r="I45">
            <v>0</v>
          </cell>
          <cell r="J45">
            <v>0</v>
          </cell>
        </row>
        <row r="46">
          <cell r="A46">
            <v>58</v>
          </cell>
          <cell r="B46" t="str">
            <v>Ninh Thuận</v>
          </cell>
          <cell r="C46">
            <v>8513.7999999999993</v>
          </cell>
          <cell r="D46">
            <v>625</v>
          </cell>
          <cell r="E46">
            <v>90211.6</v>
          </cell>
          <cell r="F46">
            <v>0</v>
          </cell>
          <cell r="G46">
            <v>1446.5</v>
          </cell>
          <cell r="H46">
            <v>4094.2</v>
          </cell>
          <cell r="I46">
            <v>94.5</v>
          </cell>
          <cell r="J46">
            <v>81.900000000000006</v>
          </cell>
        </row>
        <row r="47">
          <cell r="A47">
            <v>60</v>
          </cell>
          <cell r="B47" t="str">
            <v>Bình Thuận</v>
          </cell>
          <cell r="C47">
            <v>7999.2</v>
          </cell>
          <cell r="D47">
            <v>2337.5</v>
          </cell>
          <cell r="E47">
            <v>19530.5</v>
          </cell>
          <cell r="F47">
            <v>587.4</v>
          </cell>
          <cell r="G47">
            <v>2809.3</v>
          </cell>
          <cell r="H47">
            <v>7819.1</v>
          </cell>
          <cell r="I47">
            <v>4191.8</v>
          </cell>
          <cell r="J47">
            <v>5378.1</v>
          </cell>
        </row>
        <row r="48">
          <cell r="A48">
            <v>62</v>
          </cell>
          <cell r="B48" t="str">
            <v>Kon Tum</v>
          </cell>
          <cell r="C48">
            <v>0</v>
          </cell>
          <cell r="D48">
            <v>83</v>
          </cell>
          <cell r="E48">
            <v>53</v>
          </cell>
          <cell r="F48">
            <v>18.5</v>
          </cell>
          <cell r="G48">
            <v>6413.2</v>
          </cell>
          <cell r="H48">
            <v>837.9</v>
          </cell>
          <cell r="I48">
            <v>0</v>
          </cell>
          <cell r="J48">
            <v>33096.699999999997</v>
          </cell>
        </row>
        <row r="49">
          <cell r="A49">
            <v>64</v>
          </cell>
          <cell r="B49" t="str">
            <v>Gia Lai</v>
          </cell>
          <cell r="C49">
            <v>4708.8</v>
          </cell>
          <cell r="D49">
            <v>8443.4</v>
          </cell>
          <cell r="E49">
            <v>4.2</v>
          </cell>
          <cell r="F49">
            <v>794</v>
          </cell>
          <cell r="G49">
            <v>20160.599999999999</v>
          </cell>
          <cell r="H49">
            <v>22566.799999999999</v>
          </cell>
          <cell r="I49">
            <v>3385.8</v>
          </cell>
          <cell r="J49">
            <v>2040.7</v>
          </cell>
        </row>
        <row r="50">
          <cell r="A50">
            <v>66</v>
          </cell>
          <cell r="B50" t="str">
            <v>Đắk Lắk</v>
          </cell>
          <cell r="C50">
            <v>15999.3</v>
          </cell>
          <cell r="D50">
            <v>15643.7</v>
          </cell>
          <cell r="E50">
            <v>2715.1</v>
          </cell>
          <cell r="F50">
            <v>18522.2</v>
          </cell>
          <cell r="G50">
            <v>40256.199999999997</v>
          </cell>
          <cell r="H50">
            <v>25349.599999999999</v>
          </cell>
          <cell r="I50">
            <v>4417.8999999999996</v>
          </cell>
          <cell r="J50">
            <v>13364.1</v>
          </cell>
        </row>
        <row r="51">
          <cell r="A51">
            <v>67</v>
          </cell>
          <cell r="B51" t="str">
            <v>Đắk Nông</v>
          </cell>
          <cell r="C51">
            <v>0</v>
          </cell>
          <cell r="D51">
            <v>125</v>
          </cell>
          <cell r="E51">
            <v>0</v>
          </cell>
          <cell r="F51">
            <v>55</v>
          </cell>
          <cell r="G51">
            <v>931.4</v>
          </cell>
          <cell r="H51">
            <v>5.5</v>
          </cell>
          <cell r="I51">
            <v>0</v>
          </cell>
          <cell r="J51">
            <v>780.2</v>
          </cell>
        </row>
        <row r="52">
          <cell r="A52">
            <v>68</v>
          </cell>
          <cell r="B52" t="str">
            <v>Lâm Đồng</v>
          </cell>
          <cell r="C52">
            <v>3357.5</v>
          </cell>
          <cell r="D52">
            <v>503.2</v>
          </cell>
          <cell r="E52">
            <v>526.1</v>
          </cell>
          <cell r="F52">
            <v>894.3</v>
          </cell>
          <cell r="G52">
            <v>0</v>
          </cell>
          <cell r="H52">
            <v>860.3</v>
          </cell>
          <cell r="I52">
            <v>55.2</v>
          </cell>
          <cell r="J52">
            <v>421.1</v>
          </cell>
        </row>
        <row r="53">
          <cell r="A53">
            <v>70</v>
          </cell>
          <cell r="B53" t="str">
            <v>Bình Phước</v>
          </cell>
          <cell r="C53">
            <v>64</v>
          </cell>
          <cell r="D53">
            <v>0</v>
          </cell>
          <cell r="E53">
            <v>0</v>
          </cell>
          <cell r="F53">
            <v>54.2</v>
          </cell>
          <cell r="G53">
            <v>101.2</v>
          </cell>
          <cell r="H53">
            <v>14</v>
          </cell>
          <cell r="I53">
            <v>235.8</v>
          </cell>
          <cell r="J53">
            <v>45.6</v>
          </cell>
        </row>
        <row r="54">
          <cell r="A54">
            <v>72</v>
          </cell>
          <cell r="B54" t="str">
            <v>Tây Ninh</v>
          </cell>
          <cell r="C54">
            <v>1641.9</v>
          </cell>
          <cell r="D54">
            <v>637.29999999999995</v>
          </cell>
          <cell r="E54">
            <v>4573</v>
          </cell>
          <cell r="F54">
            <v>904.4</v>
          </cell>
          <cell r="G54">
            <v>47.5</v>
          </cell>
          <cell r="H54">
            <v>354.4</v>
          </cell>
          <cell r="I54">
            <v>4790.1000000000004</v>
          </cell>
          <cell r="J54">
            <v>1859.5</v>
          </cell>
        </row>
        <row r="55">
          <cell r="A55">
            <v>74</v>
          </cell>
          <cell r="B55" t="str">
            <v>Bình Dương</v>
          </cell>
          <cell r="C55">
            <v>319</v>
          </cell>
          <cell r="D55">
            <v>90</v>
          </cell>
          <cell r="E55">
            <v>12267</v>
          </cell>
          <cell r="F55">
            <v>310.89999999999998</v>
          </cell>
          <cell r="G55">
            <v>103.7</v>
          </cell>
          <cell r="H55">
            <v>72.8</v>
          </cell>
          <cell r="I55">
            <v>0</v>
          </cell>
          <cell r="J55">
            <v>107.7</v>
          </cell>
        </row>
        <row r="56">
          <cell r="A56">
            <v>75</v>
          </cell>
          <cell r="B56" t="str">
            <v>Đồng Nai</v>
          </cell>
          <cell r="C56">
            <v>0</v>
          </cell>
          <cell r="D56">
            <v>0</v>
          </cell>
          <cell r="E56">
            <v>0</v>
          </cell>
          <cell r="F56">
            <v>1951</v>
          </cell>
          <cell r="G56">
            <v>158</v>
          </cell>
          <cell r="H56">
            <v>1401</v>
          </cell>
          <cell r="I56">
            <v>67</v>
          </cell>
          <cell r="J56">
            <v>364.2</v>
          </cell>
        </row>
        <row r="57">
          <cell r="A57">
            <v>77</v>
          </cell>
          <cell r="B57" t="str">
            <v>Bà Rịa-Vũng Tàu(***)</v>
          </cell>
          <cell r="C57">
            <v>0</v>
          </cell>
          <cell r="D57">
            <v>0</v>
          </cell>
          <cell r="E57">
            <v>1189.3</v>
          </cell>
          <cell r="F57">
            <v>0</v>
          </cell>
          <cell r="G57">
            <v>0</v>
          </cell>
          <cell r="H57">
            <v>2.5</v>
          </cell>
          <cell r="I57">
            <v>641.20000000000005</v>
          </cell>
          <cell r="J57">
            <v>6.9</v>
          </cell>
        </row>
        <row r="58">
          <cell r="A58">
            <v>79</v>
          </cell>
          <cell r="B58" t="str">
            <v>TP Hồ Chí Minh</v>
          </cell>
          <cell r="C58">
            <v>8.4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A59">
            <v>80</v>
          </cell>
          <cell r="B59" t="str">
            <v>Long An</v>
          </cell>
          <cell r="C59">
            <v>20.2</v>
          </cell>
          <cell r="D59">
            <v>1693.8</v>
          </cell>
          <cell r="E59">
            <v>1620.5</v>
          </cell>
          <cell r="F59">
            <v>107</v>
          </cell>
          <cell r="G59">
            <v>4808.5</v>
          </cell>
          <cell r="H59">
            <v>527.6</v>
          </cell>
          <cell r="I59">
            <v>833.5</v>
          </cell>
          <cell r="J59">
            <v>4879.6000000000004</v>
          </cell>
        </row>
        <row r="60">
          <cell r="A60">
            <v>82</v>
          </cell>
          <cell r="B60" t="str">
            <v>Tiền Giang</v>
          </cell>
          <cell r="C60">
            <v>27.7</v>
          </cell>
          <cell r="D60">
            <v>2</v>
          </cell>
          <cell r="E60">
            <v>9333</v>
          </cell>
          <cell r="F60">
            <v>0</v>
          </cell>
          <cell r="G60">
            <v>39154.9</v>
          </cell>
          <cell r="H60">
            <v>120</v>
          </cell>
          <cell r="I60">
            <v>76.900000000000006</v>
          </cell>
          <cell r="J60">
            <v>0</v>
          </cell>
        </row>
        <row r="61">
          <cell r="A61">
            <v>83</v>
          </cell>
          <cell r="B61" t="str">
            <v>Bến Tre</v>
          </cell>
          <cell r="C61">
            <v>0.1</v>
          </cell>
          <cell r="D61">
            <v>0</v>
          </cell>
          <cell r="E61">
            <v>0</v>
          </cell>
          <cell r="F61">
            <v>0</v>
          </cell>
          <cell r="G61">
            <v>5468.6</v>
          </cell>
          <cell r="H61">
            <v>2</v>
          </cell>
          <cell r="I61">
            <v>0.4</v>
          </cell>
          <cell r="J61">
            <v>56.2</v>
          </cell>
        </row>
        <row r="62">
          <cell r="A62">
            <v>84</v>
          </cell>
          <cell r="B62" t="str">
            <v>Trà Vinh</v>
          </cell>
          <cell r="C62">
            <v>0</v>
          </cell>
          <cell r="D62">
            <v>0</v>
          </cell>
          <cell r="E62">
            <v>3.5</v>
          </cell>
          <cell r="F62">
            <v>163</v>
          </cell>
          <cell r="G62">
            <v>34035.199999999997</v>
          </cell>
          <cell r="H62">
            <v>10</v>
          </cell>
          <cell r="I62">
            <v>2159.5</v>
          </cell>
          <cell r="J62">
            <v>650.9</v>
          </cell>
        </row>
        <row r="63">
          <cell r="A63">
            <v>86</v>
          </cell>
          <cell r="B63" t="str">
            <v>Vĩnh Long</v>
          </cell>
          <cell r="C63">
            <v>17</v>
          </cell>
          <cell r="D63">
            <v>247</v>
          </cell>
          <cell r="E63">
            <v>1043.5999999999999</v>
          </cell>
          <cell r="F63">
            <v>583.9</v>
          </cell>
          <cell r="G63">
            <v>2398.6999999999998</v>
          </cell>
          <cell r="H63">
            <v>6912.9</v>
          </cell>
          <cell r="I63">
            <v>15.6</v>
          </cell>
          <cell r="J63">
            <v>1972.9</v>
          </cell>
        </row>
        <row r="64">
          <cell r="A64">
            <v>87</v>
          </cell>
          <cell r="B64" t="str">
            <v>Đồng Tháp</v>
          </cell>
          <cell r="C64">
            <v>0</v>
          </cell>
          <cell r="D64">
            <v>0</v>
          </cell>
          <cell r="E64">
            <v>409.1</v>
          </cell>
          <cell r="F64">
            <v>0</v>
          </cell>
          <cell r="G64">
            <v>0</v>
          </cell>
          <cell r="H64">
            <v>270.60000000000002</v>
          </cell>
          <cell r="I64">
            <v>2912</v>
          </cell>
          <cell r="J64">
            <v>1</v>
          </cell>
        </row>
        <row r="65">
          <cell r="A65">
            <v>89</v>
          </cell>
          <cell r="B65" t="str">
            <v>An Giang</v>
          </cell>
          <cell r="C65">
            <v>0</v>
          </cell>
          <cell r="D65">
            <v>2048</v>
          </cell>
          <cell r="E65">
            <v>3218.7</v>
          </cell>
          <cell r="F65">
            <v>1192</v>
          </cell>
          <cell r="G65">
            <v>948</v>
          </cell>
          <cell r="H65">
            <v>1076</v>
          </cell>
          <cell r="I65">
            <v>741.2</v>
          </cell>
          <cell r="J65">
            <v>1274</v>
          </cell>
        </row>
        <row r="66">
          <cell r="A66">
            <v>91</v>
          </cell>
          <cell r="B66" t="str">
            <v>Kiên Giang</v>
          </cell>
          <cell r="C66">
            <v>4.5</v>
          </cell>
          <cell r="D66">
            <v>0</v>
          </cell>
          <cell r="E66">
            <v>316</v>
          </cell>
          <cell r="F66">
            <v>10.1</v>
          </cell>
          <cell r="G66">
            <v>14656.6</v>
          </cell>
          <cell r="H66">
            <v>6</v>
          </cell>
          <cell r="I66">
            <v>172</v>
          </cell>
          <cell r="J66">
            <v>312.60000000000002</v>
          </cell>
        </row>
        <row r="67">
          <cell r="A67">
            <v>92</v>
          </cell>
          <cell r="B67" t="str">
            <v>Cần Thơ</v>
          </cell>
          <cell r="C67">
            <v>3883</v>
          </cell>
          <cell r="D67">
            <v>0</v>
          </cell>
          <cell r="E67">
            <v>0</v>
          </cell>
          <cell r="F67">
            <v>5</v>
          </cell>
          <cell r="G67">
            <v>31.8</v>
          </cell>
          <cell r="H67">
            <v>0</v>
          </cell>
          <cell r="I67">
            <v>0</v>
          </cell>
          <cell r="J67">
            <v>0</v>
          </cell>
        </row>
        <row r="68">
          <cell r="A68">
            <v>93</v>
          </cell>
          <cell r="B68" t="str">
            <v>Hậu Giang</v>
          </cell>
          <cell r="C68">
            <v>0</v>
          </cell>
          <cell r="D68">
            <v>0</v>
          </cell>
          <cell r="E68">
            <v>34</v>
          </cell>
          <cell r="F68">
            <v>0</v>
          </cell>
          <cell r="G68">
            <v>9079.9</v>
          </cell>
          <cell r="H68">
            <v>3646.6</v>
          </cell>
          <cell r="I68">
            <v>732.1</v>
          </cell>
          <cell r="J68">
            <v>5221</v>
          </cell>
        </row>
        <row r="69">
          <cell r="A69">
            <v>94</v>
          </cell>
          <cell r="B69" t="str">
            <v>Sóc Trăng</v>
          </cell>
          <cell r="C69">
            <v>0</v>
          </cell>
          <cell r="D69">
            <v>0</v>
          </cell>
          <cell r="E69">
            <v>1064</v>
          </cell>
          <cell r="F69">
            <v>9413.2000000000007</v>
          </cell>
          <cell r="G69">
            <v>26493.9</v>
          </cell>
          <cell r="H69">
            <v>15.5</v>
          </cell>
          <cell r="I69">
            <v>19348.099999999999</v>
          </cell>
          <cell r="J69">
            <v>7627.8</v>
          </cell>
        </row>
        <row r="70">
          <cell r="A70">
            <v>95</v>
          </cell>
          <cell r="B70" t="str">
            <v>Bạc Liêu</v>
          </cell>
          <cell r="C70">
            <v>0</v>
          </cell>
          <cell r="D70">
            <v>4162</v>
          </cell>
          <cell r="E70">
            <v>0</v>
          </cell>
          <cell r="F70">
            <v>160</v>
          </cell>
          <cell r="G70">
            <v>20494</v>
          </cell>
          <cell r="H70">
            <v>0</v>
          </cell>
          <cell r="I70">
            <v>1020.6</v>
          </cell>
          <cell r="J70">
            <v>14.2</v>
          </cell>
        </row>
        <row r="71">
          <cell r="A71">
            <v>96</v>
          </cell>
          <cell r="B71" t="str">
            <v>Cà Mau</v>
          </cell>
          <cell r="C71">
            <v>0</v>
          </cell>
          <cell r="D71">
            <v>0</v>
          </cell>
          <cell r="E71">
            <v>135</v>
          </cell>
          <cell r="F71">
            <v>993.4</v>
          </cell>
          <cell r="G71">
            <v>45587.6</v>
          </cell>
          <cell r="H71">
            <v>4599.5</v>
          </cell>
          <cell r="I71">
            <v>3058.8</v>
          </cell>
          <cell r="J71">
            <v>1652.3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5</v>
          </cell>
          <cell r="D9">
            <v>7</v>
          </cell>
          <cell r="E9">
            <v>0</v>
          </cell>
          <cell r="F9">
            <v>1</v>
          </cell>
          <cell r="G9">
            <v>2</v>
          </cell>
          <cell r="H9">
            <v>5</v>
          </cell>
          <cell r="I9">
            <v>2</v>
          </cell>
          <cell r="J9">
            <v>0</v>
          </cell>
        </row>
        <row r="10">
          <cell r="A10" t="str">
            <v>02</v>
          </cell>
          <cell r="B10" t="str">
            <v>Hà Giang</v>
          </cell>
          <cell r="C10">
            <v>14</v>
          </cell>
          <cell r="D10">
            <v>35</v>
          </cell>
          <cell r="E10">
            <v>14</v>
          </cell>
          <cell r="F10">
            <v>35</v>
          </cell>
          <cell r="G10">
            <v>32</v>
          </cell>
          <cell r="H10">
            <v>8</v>
          </cell>
          <cell r="I10">
            <v>15</v>
          </cell>
          <cell r="J10">
            <v>11</v>
          </cell>
        </row>
        <row r="11">
          <cell r="A11" t="str">
            <v>04</v>
          </cell>
          <cell r="B11" t="str">
            <v>Cao Bằng</v>
          </cell>
          <cell r="C11">
            <v>7</v>
          </cell>
          <cell r="D11">
            <v>10</v>
          </cell>
          <cell r="E11">
            <v>1</v>
          </cell>
          <cell r="F11">
            <v>7</v>
          </cell>
          <cell r="G11">
            <v>8</v>
          </cell>
          <cell r="H11">
            <v>4</v>
          </cell>
          <cell r="I11">
            <v>14</v>
          </cell>
          <cell r="J11">
            <v>7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1</v>
          </cell>
        </row>
        <row r="14">
          <cell r="A14">
            <v>10</v>
          </cell>
          <cell r="B14" t="str">
            <v>Lào Cai</v>
          </cell>
          <cell r="C14">
            <v>41</v>
          </cell>
          <cell r="D14">
            <v>7</v>
          </cell>
          <cell r="E14">
            <v>7</v>
          </cell>
          <cell r="F14">
            <v>4</v>
          </cell>
          <cell r="G14">
            <v>19</v>
          </cell>
          <cell r="H14">
            <v>6</v>
          </cell>
          <cell r="I14">
            <v>5</v>
          </cell>
          <cell r="J14">
            <v>0</v>
          </cell>
        </row>
        <row r="15">
          <cell r="A15">
            <v>11</v>
          </cell>
          <cell r="B15" t="str">
            <v>Điện Biên</v>
          </cell>
          <cell r="C15">
            <v>16</v>
          </cell>
          <cell r="D15">
            <v>10</v>
          </cell>
          <cell r="E15">
            <v>1</v>
          </cell>
          <cell r="F15">
            <v>9</v>
          </cell>
          <cell r="G15">
            <v>6</v>
          </cell>
          <cell r="H15">
            <v>3</v>
          </cell>
          <cell r="I15">
            <v>16</v>
          </cell>
          <cell r="J15">
            <v>5</v>
          </cell>
        </row>
        <row r="16">
          <cell r="A16">
            <v>12</v>
          </cell>
          <cell r="B16" t="str">
            <v>Lai Châu</v>
          </cell>
          <cell r="C16">
            <v>22</v>
          </cell>
          <cell r="D16">
            <v>10</v>
          </cell>
          <cell r="E16">
            <v>60</v>
          </cell>
          <cell r="F16">
            <v>5</v>
          </cell>
          <cell r="G16">
            <v>26</v>
          </cell>
          <cell r="H16">
            <v>13</v>
          </cell>
          <cell r="I16">
            <v>3</v>
          </cell>
          <cell r="J16">
            <v>1</v>
          </cell>
        </row>
        <row r="17">
          <cell r="A17">
            <v>14</v>
          </cell>
          <cell r="B17" t="str">
            <v>Sơn La</v>
          </cell>
          <cell r="C17">
            <v>36</v>
          </cell>
          <cell r="D17">
            <v>46</v>
          </cell>
          <cell r="E17">
            <v>32</v>
          </cell>
          <cell r="F17">
            <v>6</v>
          </cell>
          <cell r="G17">
            <v>15</v>
          </cell>
          <cell r="H17">
            <v>3</v>
          </cell>
          <cell r="I17">
            <v>5</v>
          </cell>
          <cell r="J17">
            <v>4</v>
          </cell>
        </row>
        <row r="18">
          <cell r="A18">
            <v>15</v>
          </cell>
          <cell r="B18" t="str">
            <v>Yên Bái</v>
          </cell>
          <cell r="C18">
            <v>34</v>
          </cell>
          <cell r="D18">
            <v>85</v>
          </cell>
          <cell r="E18">
            <v>47</v>
          </cell>
          <cell r="F18">
            <v>10</v>
          </cell>
          <cell r="G18">
            <v>0</v>
          </cell>
          <cell r="H18">
            <v>8</v>
          </cell>
          <cell r="I18">
            <v>4</v>
          </cell>
          <cell r="J18">
            <v>9</v>
          </cell>
        </row>
        <row r="19">
          <cell r="A19">
            <v>17</v>
          </cell>
          <cell r="B19" t="str">
            <v>Hoà Bình</v>
          </cell>
          <cell r="C19">
            <v>5</v>
          </cell>
          <cell r="D19">
            <v>51</v>
          </cell>
          <cell r="E19">
            <v>7</v>
          </cell>
          <cell r="F19">
            <v>1</v>
          </cell>
          <cell r="G19">
            <v>7</v>
          </cell>
          <cell r="H19">
            <v>7</v>
          </cell>
          <cell r="I19">
            <v>10</v>
          </cell>
          <cell r="J19">
            <v>1</v>
          </cell>
        </row>
        <row r="20">
          <cell r="A20">
            <v>19</v>
          </cell>
          <cell r="B20" t="str">
            <v>Thái Nguyên</v>
          </cell>
          <cell r="C20">
            <v>8</v>
          </cell>
          <cell r="D20">
            <v>10</v>
          </cell>
          <cell r="E20">
            <v>4</v>
          </cell>
          <cell r="F20">
            <v>9</v>
          </cell>
          <cell r="G20">
            <v>11</v>
          </cell>
          <cell r="H20">
            <v>5</v>
          </cell>
          <cell r="I20">
            <v>8</v>
          </cell>
          <cell r="J20">
            <v>6</v>
          </cell>
        </row>
        <row r="21">
          <cell r="A21">
            <v>20</v>
          </cell>
          <cell r="B21" t="str">
            <v>Lạng Sơn</v>
          </cell>
          <cell r="C21">
            <v>5</v>
          </cell>
          <cell r="D21">
            <v>2</v>
          </cell>
          <cell r="E21">
            <v>4</v>
          </cell>
          <cell r="F21">
            <v>0</v>
          </cell>
          <cell r="G21">
            <v>2</v>
          </cell>
          <cell r="H21">
            <v>0</v>
          </cell>
          <cell r="I21">
            <v>6</v>
          </cell>
          <cell r="J21">
            <v>16</v>
          </cell>
        </row>
        <row r="22">
          <cell r="A22">
            <v>22</v>
          </cell>
          <cell r="B22" t="str">
            <v>Quảng Ninh</v>
          </cell>
          <cell r="C22">
            <v>5</v>
          </cell>
          <cell r="D22">
            <v>2</v>
          </cell>
          <cell r="E22">
            <v>1</v>
          </cell>
          <cell r="F22">
            <v>1</v>
          </cell>
          <cell r="G22">
            <v>4</v>
          </cell>
          <cell r="H22">
            <v>7</v>
          </cell>
          <cell r="I22">
            <v>8</v>
          </cell>
          <cell r="J22">
            <v>0</v>
          </cell>
        </row>
        <row r="23">
          <cell r="A23">
            <v>24</v>
          </cell>
          <cell r="B23" t="str">
            <v>Bắc Giang</v>
          </cell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5</v>
          </cell>
          <cell r="H23">
            <v>3</v>
          </cell>
          <cell r="I23">
            <v>1</v>
          </cell>
          <cell r="J23">
            <v>3</v>
          </cell>
        </row>
        <row r="24">
          <cell r="A24">
            <v>25</v>
          </cell>
          <cell r="B24" t="str">
            <v>Phú Thọ</v>
          </cell>
          <cell r="C24">
            <v>6</v>
          </cell>
          <cell r="D24">
            <v>2</v>
          </cell>
          <cell r="E24">
            <v>7</v>
          </cell>
          <cell r="F24">
            <v>3</v>
          </cell>
          <cell r="G24">
            <v>30</v>
          </cell>
          <cell r="H24">
            <v>4</v>
          </cell>
          <cell r="I24">
            <v>0</v>
          </cell>
          <cell r="J24">
            <v>3</v>
          </cell>
        </row>
        <row r="25">
          <cell r="A25">
            <v>26</v>
          </cell>
          <cell r="B25" t="str">
            <v>Vĩnh Phúc</v>
          </cell>
          <cell r="C25">
            <v>5</v>
          </cell>
          <cell r="D25">
            <v>0</v>
          </cell>
          <cell r="E25">
            <v>0</v>
          </cell>
          <cell r="F25">
            <v>0</v>
          </cell>
          <cell r="G25">
            <v>28</v>
          </cell>
          <cell r="H25">
            <v>0</v>
          </cell>
          <cell r="I25">
            <v>8</v>
          </cell>
          <cell r="J25">
            <v>0</v>
          </cell>
        </row>
        <row r="26">
          <cell r="A26">
            <v>27</v>
          </cell>
          <cell r="B26" t="str">
            <v>Bắc Ninh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</row>
        <row r="27">
          <cell r="A27">
            <v>30</v>
          </cell>
          <cell r="B27" t="str">
            <v>Hải Dương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</row>
        <row r="28">
          <cell r="A28">
            <v>31</v>
          </cell>
          <cell r="B28" t="str">
            <v>Hải Phòng</v>
          </cell>
          <cell r="C28">
            <v>6</v>
          </cell>
          <cell r="D28">
            <v>2</v>
          </cell>
          <cell r="E28">
            <v>0</v>
          </cell>
          <cell r="F28">
            <v>1</v>
          </cell>
          <cell r="G28">
            <v>0</v>
          </cell>
          <cell r="H28">
            <v>2</v>
          </cell>
          <cell r="I28">
            <v>0</v>
          </cell>
          <cell r="J28">
            <v>0</v>
          </cell>
        </row>
        <row r="29">
          <cell r="A29">
            <v>33</v>
          </cell>
          <cell r="B29" t="str">
            <v>Hưng Yên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</v>
          </cell>
          <cell r="H29">
            <v>1</v>
          </cell>
          <cell r="I29">
            <v>26</v>
          </cell>
          <cell r="J29">
            <v>15</v>
          </cell>
        </row>
        <row r="30">
          <cell r="A30">
            <v>34</v>
          </cell>
          <cell r="B30" t="str">
            <v>Thái Bình</v>
          </cell>
          <cell r="C30">
            <v>46</v>
          </cell>
          <cell r="D30">
            <v>7</v>
          </cell>
          <cell r="E30">
            <v>4</v>
          </cell>
          <cell r="F30">
            <v>0</v>
          </cell>
          <cell r="G30">
            <v>1</v>
          </cell>
          <cell r="H30">
            <v>0</v>
          </cell>
          <cell r="I30">
            <v>0</v>
          </cell>
          <cell r="J30">
            <v>0</v>
          </cell>
        </row>
        <row r="31">
          <cell r="A31">
            <v>35</v>
          </cell>
          <cell r="B31" t="str">
            <v>Hà Nam</v>
          </cell>
          <cell r="C31">
            <v>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  <cell r="J31">
            <v>0</v>
          </cell>
        </row>
        <row r="32">
          <cell r="A32">
            <v>36</v>
          </cell>
          <cell r="B32" t="str">
            <v>Nam Định</v>
          </cell>
          <cell r="C32">
            <v>4</v>
          </cell>
          <cell r="D32">
            <v>11</v>
          </cell>
          <cell r="E32">
            <v>0</v>
          </cell>
          <cell r="F32">
            <v>2</v>
          </cell>
          <cell r="G32">
            <v>0</v>
          </cell>
          <cell r="H32">
            <v>0</v>
          </cell>
          <cell r="I32">
            <v>3</v>
          </cell>
          <cell r="J32">
            <v>3</v>
          </cell>
        </row>
        <row r="33">
          <cell r="A33">
            <v>37</v>
          </cell>
          <cell r="B33" t="str">
            <v>Ninh Bình</v>
          </cell>
          <cell r="C33">
            <v>4</v>
          </cell>
          <cell r="D33">
            <v>3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13</v>
          </cell>
          <cell r="J33">
            <v>7</v>
          </cell>
        </row>
        <row r="34">
          <cell r="A34">
            <v>38</v>
          </cell>
          <cell r="B34" t="str">
            <v>Thanh Hoá</v>
          </cell>
          <cell r="C34">
            <v>12</v>
          </cell>
          <cell r="D34">
            <v>37</v>
          </cell>
          <cell r="E34">
            <v>49</v>
          </cell>
          <cell r="F34">
            <v>28</v>
          </cell>
          <cell r="G34">
            <v>3</v>
          </cell>
          <cell r="H34">
            <v>4</v>
          </cell>
          <cell r="I34">
            <v>4</v>
          </cell>
          <cell r="J34">
            <v>3</v>
          </cell>
        </row>
        <row r="35">
          <cell r="A35">
            <v>40</v>
          </cell>
          <cell r="B35" t="str">
            <v>Nghệ An</v>
          </cell>
          <cell r="C35">
            <v>27</v>
          </cell>
          <cell r="D35">
            <v>30</v>
          </cell>
          <cell r="E35">
            <v>9</v>
          </cell>
          <cell r="F35">
            <v>17</v>
          </cell>
          <cell r="G35">
            <v>25</v>
          </cell>
          <cell r="H35">
            <v>10</v>
          </cell>
          <cell r="I35">
            <v>0</v>
          </cell>
          <cell r="J35">
            <v>0</v>
          </cell>
        </row>
        <row r="36">
          <cell r="A36">
            <v>42</v>
          </cell>
          <cell r="B36" t="str">
            <v>Hà Tĩnh</v>
          </cell>
          <cell r="C36">
            <v>16</v>
          </cell>
          <cell r="D36">
            <v>85</v>
          </cell>
          <cell r="E36">
            <v>0</v>
          </cell>
          <cell r="F36">
            <v>14</v>
          </cell>
          <cell r="G36">
            <v>59</v>
          </cell>
          <cell r="H36">
            <v>7</v>
          </cell>
          <cell r="I36">
            <v>6</v>
          </cell>
          <cell r="J36">
            <v>6</v>
          </cell>
        </row>
        <row r="37">
          <cell r="A37">
            <v>44</v>
          </cell>
          <cell r="B37" t="str">
            <v>Quảng Bình</v>
          </cell>
          <cell r="C37">
            <v>212</v>
          </cell>
          <cell r="D37">
            <v>64</v>
          </cell>
          <cell r="E37">
            <v>1</v>
          </cell>
          <cell r="F37">
            <v>40</v>
          </cell>
          <cell r="G37">
            <v>246</v>
          </cell>
          <cell r="H37">
            <v>7</v>
          </cell>
          <cell r="I37">
            <v>5</v>
          </cell>
          <cell r="J37">
            <v>2</v>
          </cell>
        </row>
        <row r="38">
          <cell r="A38">
            <v>45</v>
          </cell>
          <cell r="B38" t="str">
            <v>Quảng Trị</v>
          </cell>
          <cell r="C38">
            <v>16</v>
          </cell>
          <cell r="D38">
            <v>20</v>
          </cell>
          <cell r="E38">
            <v>4</v>
          </cell>
          <cell r="F38">
            <v>3</v>
          </cell>
          <cell r="G38">
            <v>96</v>
          </cell>
          <cell r="H38">
            <v>3</v>
          </cell>
          <cell r="I38">
            <v>2</v>
          </cell>
          <cell r="J38">
            <v>8</v>
          </cell>
        </row>
        <row r="39">
          <cell r="A39">
            <v>46</v>
          </cell>
          <cell r="B39" t="str">
            <v>Thừa Thiên Huế</v>
          </cell>
          <cell r="C39">
            <v>25</v>
          </cell>
          <cell r="D39">
            <v>28</v>
          </cell>
          <cell r="E39">
            <v>3</v>
          </cell>
          <cell r="F39">
            <v>0</v>
          </cell>
          <cell r="G39">
            <v>205</v>
          </cell>
          <cell r="H39">
            <v>6</v>
          </cell>
          <cell r="I39">
            <v>1</v>
          </cell>
          <cell r="J39">
            <v>3</v>
          </cell>
        </row>
        <row r="40">
          <cell r="A40">
            <v>48</v>
          </cell>
          <cell r="B40" t="str">
            <v>Đà Nẵng</v>
          </cell>
          <cell r="C40">
            <v>0</v>
          </cell>
          <cell r="D40">
            <v>4</v>
          </cell>
          <cell r="E40">
            <v>0</v>
          </cell>
          <cell r="F40">
            <v>0</v>
          </cell>
          <cell r="G40">
            <v>15</v>
          </cell>
          <cell r="H40">
            <v>0</v>
          </cell>
          <cell r="I40">
            <v>5</v>
          </cell>
          <cell r="J40">
            <v>0</v>
          </cell>
        </row>
        <row r="41">
          <cell r="A41">
            <v>49</v>
          </cell>
          <cell r="B41" t="str">
            <v>Quảng Nam</v>
          </cell>
          <cell r="C41">
            <v>9</v>
          </cell>
          <cell r="D41">
            <v>47</v>
          </cell>
          <cell r="E41">
            <v>4</v>
          </cell>
          <cell r="F41">
            <v>10</v>
          </cell>
          <cell r="G41">
            <v>387</v>
          </cell>
          <cell r="H41">
            <v>8</v>
          </cell>
          <cell r="I41">
            <v>0</v>
          </cell>
          <cell r="J41">
            <v>1</v>
          </cell>
        </row>
        <row r="42">
          <cell r="A42">
            <v>51</v>
          </cell>
          <cell r="B42" t="str">
            <v>Quảng Ngãi</v>
          </cell>
          <cell r="C42">
            <v>12</v>
          </cell>
          <cell r="D42">
            <v>50</v>
          </cell>
          <cell r="E42">
            <v>3</v>
          </cell>
          <cell r="F42">
            <v>25</v>
          </cell>
          <cell r="G42">
            <v>32</v>
          </cell>
          <cell r="H42">
            <v>11</v>
          </cell>
          <cell r="I42">
            <v>158</v>
          </cell>
          <cell r="J42">
            <v>19</v>
          </cell>
        </row>
        <row r="43">
          <cell r="A43">
            <v>52</v>
          </cell>
          <cell r="B43" t="str">
            <v>Bình Định</v>
          </cell>
          <cell r="C43">
            <v>58</v>
          </cell>
          <cell r="D43">
            <v>28</v>
          </cell>
          <cell r="E43">
            <v>6</v>
          </cell>
          <cell r="F43">
            <v>6</v>
          </cell>
          <cell r="G43">
            <v>58</v>
          </cell>
          <cell r="H43">
            <v>9</v>
          </cell>
          <cell r="I43">
            <v>3</v>
          </cell>
          <cell r="J43">
            <v>3</v>
          </cell>
        </row>
        <row r="44">
          <cell r="A44">
            <v>54</v>
          </cell>
          <cell r="B44" t="str">
            <v>Phú Yên</v>
          </cell>
          <cell r="C44">
            <v>15</v>
          </cell>
          <cell r="D44">
            <v>44</v>
          </cell>
          <cell r="E44">
            <v>9</v>
          </cell>
          <cell r="F44">
            <v>1</v>
          </cell>
          <cell r="G44">
            <v>8</v>
          </cell>
          <cell r="H44">
            <v>8</v>
          </cell>
          <cell r="I44">
            <v>2</v>
          </cell>
          <cell r="J44">
            <v>1</v>
          </cell>
        </row>
        <row r="45">
          <cell r="A45">
            <v>56</v>
          </cell>
          <cell r="B45" t="str">
            <v>Khánh Hoà</v>
          </cell>
          <cell r="C45">
            <v>9</v>
          </cell>
          <cell r="D45">
            <v>276</v>
          </cell>
          <cell r="E45">
            <v>53</v>
          </cell>
          <cell r="F45">
            <v>3</v>
          </cell>
          <cell r="G45">
            <v>13</v>
          </cell>
          <cell r="H45">
            <v>4</v>
          </cell>
          <cell r="I45">
            <v>1</v>
          </cell>
          <cell r="J45">
            <v>3</v>
          </cell>
        </row>
        <row r="46">
          <cell r="A46">
            <v>58</v>
          </cell>
          <cell r="B46" t="str">
            <v>Ninh Thuận</v>
          </cell>
          <cell r="C46">
            <v>0</v>
          </cell>
          <cell r="D46">
            <v>4</v>
          </cell>
          <cell r="E46">
            <v>0</v>
          </cell>
          <cell r="F46">
            <v>2</v>
          </cell>
          <cell r="G46">
            <v>4</v>
          </cell>
          <cell r="H46">
            <v>2</v>
          </cell>
          <cell r="I46">
            <v>3</v>
          </cell>
          <cell r="J46">
            <v>0</v>
          </cell>
        </row>
        <row r="47">
          <cell r="A47">
            <v>60</v>
          </cell>
          <cell r="B47" t="str">
            <v>Bình Thuận</v>
          </cell>
          <cell r="C47">
            <v>9</v>
          </cell>
          <cell r="D47">
            <v>2</v>
          </cell>
          <cell r="E47">
            <v>2</v>
          </cell>
          <cell r="F47">
            <v>2</v>
          </cell>
          <cell r="G47">
            <v>3</v>
          </cell>
          <cell r="H47">
            <v>10</v>
          </cell>
          <cell r="I47">
            <v>5</v>
          </cell>
          <cell r="J47">
            <v>17</v>
          </cell>
        </row>
        <row r="48">
          <cell r="A48">
            <v>62</v>
          </cell>
          <cell r="B48" t="str">
            <v>Kon Tum</v>
          </cell>
          <cell r="C48">
            <v>0</v>
          </cell>
          <cell r="D48">
            <v>1</v>
          </cell>
          <cell r="E48">
            <v>2</v>
          </cell>
          <cell r="F48">
            <v>3</v>
          </cell>
          <cell r="G48">
            <v>6</v>
          </cell>
          <cell r="H48">
            <v>3</v>
          </cell>
          <cell r="I48">
            <v>9</v>
          </cell>
          <cell r="J48">
            <v>22</v>
          </cell>
        </row>
        <row r="49">
          <cell r="A49">
            <v>64</v>
          </cell>
          <cell r="B49" t="str">
            <v>Gia Lai</v>
          </cell>
          <cell r="C49">
            <v>1</v>
          </cell>
          <cell r="D49">
            <v>6</v>
          </cell>
          <cell r="E49">
            <v>5</v>
          </cell>
          <cell r="F49">
            <v>0</v>
          </cell>
          <cell r="G49">
            <v>6</v>
          </cell>
          <cell r="H49">
            <v>9</v>
          </cell>
          <cell r="I49">
            <v>3</v>
          </cell>
          <cell r="J49">
            <v>7</v>
          </cell>
        </row>
        <row r="50">
          <cell r="A50">
            <v>66</v>
          </cell>
          <cell r="B50" t="str">
            <v>Đắk Lắk</v>
          </cell>
          <cell r="C50">
            <v>2</v>
          </cell>
          <cell r="D50">
            <v>11</v>
          </cell>
          <cell r="E50">
            <v>13</v>
          </cell>
          <cell r="F50">
            <v>2</v>
          </cell>
          <cell r="G50">
            <v>10</v>
          </cell>
          <cell r="H50">
            <v>3</v>
          </cell>
          <cell r="I50">
            <v>0</v>
          </cell>
          <cell r="J50">
            <v>8</v>
          </cell>
        </row>
        <row r="51">
          <cell r="A51">
            <v>67</v>
          </cell>
          <cell r="B51" t="str">
            <v>Đắk Nông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</v>
          </cell>
        </row>
        <row r="52">
          <cell r="A52">
            <v>68</v>
          </cell>
          <cell r="B52" t="str">
            <v>Lâm Đồng</v>
          </cell>
          <cell r="C52">
            <v>3</v>
          </cell>
          <cell r="D52">
            <v>3</v>
          </cell>
          <cell r="E52">
            <v>1</v>
          </cell>
          <cell r="F52">
            <v>5</v>
          </cell>
          <cell r="G52">
            <v>1</v>
          </cell>
          <cell r="H52">
            <v>7</v>
          </cell>
          <cell r="I52">
            <v>3</v>
          </cell>
          <cell r="J52">
            <v>12</v>
          </cell>
        </row>
        <row r="53">
          <cell r="A53">
            <v>70</v>
          </cell>
          <cell r="B53" t="str">
            <v>Bình Phước</v>
          </cell>
          <cell r="C53">
            <v>10</v>
          </cell>
          <cell r="D53">
            <v>7</v>
          </cell>
          <cell r="E53">
            <v>0</v>
          </cell>
          <cell r="F53">
            <v>0</v>
          </cell>
          <cell r="G53">
            <v>4</v>
          </cell>
          <cell r="H53">
            <v>1</v>
          </cell>
          <cell r="I53">
            <v>1</v>
          </cell>
          <cell r="J53">
            <v>1</v>
          </cell>
        </row>
        <row r="54">
          <cell r="A54">
            <v>72</v>
          </cell>
          <cell r="B54" t="str">
            <v>Tây Ninh</v>
          </cell>
          <cell r="C54">
            <v>3</v>
          </cell>
          <cell r="D54">
            <v>0</v>
          </cell>
          <cell r="E54">
            <v>2</v>
          </cell>
          <cell r="F54">
            <v>15</v>
          </cell>
          <cell r="G54">
            <v>4</v>
          </cell>
          <cell r="H54">
            <v>11</v>
          </cell>
          <cell r="I54">
            <v>23</v>
          </cell>
          <cell r="J54">
            <v>16</v>
          </cell>
        </row>
        <row r="55">
          <cell r="A55">
            <v>74</v>
          </cell>
          <cell r="B55" t="str">
            <v>Bình Dương</v>
          </cell>
          <cell r="C55">
            <v>3</v>
          </cell>
          <cell r="D55">
            <v>0</v>
          </cell>
          <cell r="E55">
            <v>4</v>
          </cell>
          <cell r="F55">
            <v>0</v>
          </cell>
          <cell r="G55">
            <v>2</v>
          </cell>
          <cell r="H55">
            <v>3</v>
          </cell>
          <cell r="I55">
            <v>1</v>
          </cell>
          <cell r="J55">
            <v>4</v>
          </cell>
        </row>
        <row r="56">
          <cell r="A56">
            <v>75</v>
          </cell>
          <cell r="B56" t="str">
            <v>Đồng Nai</v>
          </cell>
          <cell r="C56">
            <v>1</v>
          </cell>
          <cell r="D56">
            <v>1</v>
          </cell>
          <cell r="E56">
            <v>0</v>
          </cell>
          <cell r="F56">
            <v>4</v>
          </cell>
          <cell r="G56">
            <v>1</v>
          </cell>
          <cell r="H56">
            <v>0</v>
          </cell>
          <cell r="I56">
            <v>0</v>
          </cell>
          <cell r="J56">
            <v>3</v>
          </cell>
        </row>
        <row r="57">
          <cell r="A57">
            <v>77</v>
          </cell>
          <cell r="B57" t="str">
            <v>Bà Rịa-Vũng Tàu(***)</v>
          </cell>
          <cell r="C57">
            <v>0</v>
          </cell>
          <cell r="D57">
            <v>0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</v>
          </cell>
        </row>
        <row r="58">
          <cell r="A58">
            <v>79</v>
          </cell>
          <cell r="B58" t="str">
            <v>TP Hồ Chí Minh</v>
          </cell>
          <cell r="C58">
            <v>3</v>
          </cell>
          <cell r="D58">
            <v>0</v>
          </cell>
          <cell r="E58">
            <v>5</v>
          </cell>
          <cell r="F58">
            <v>0</v>
          </cell>
          <cell r="G58">
            <v>3</v>
          </cell>
          <cell r="H58">
            <v>4</v>
          </cell>
          <cell r="I58">
            <v>0</v>
          </cell>
          <cell r="J58">
            <v>0</v>
          </cell>
        </row>
        <row r="59">
          <cell r="A59">
            <v>80</v>
          </cell>
          <cell r="B59" t="str">
            <v>Long An</v>
          </cell>
          <cell r="C59">
            <v>0</v>
          </cell>
          <cell r="D59">
            <v>0</v>
          </cell>
          <cell r="E59">
            <v>0</v>
          </cell>
          <cell r="F59">
            <v>10</v>
          </cell>
          <cell r="G59">
            <v>1</v>
          </cell>
          <cell r="H59">
            <v>0</v>
          </cell>
          <cell r="I59">
            <v>9</v>
          </cell>
          <cell r="J59">
            <v>18</v>
          </cell>
        </row>
        <row r="60">
          <cell r="A60">
            <v>82</v>
          </cell>
          <cell r="B60" t="str">
            <v>Tiền Giang</v>
          </cell>
          <cell r="C60">
            <v>0</v>
          </cell>
          <cell r="D60">
            <v>0</v>
          </cell>
          <cell r="E60">
            <v>0</v>
          </cell>
          <cell r="F60">
            <v>7</v>
          </cell>
          <cell r="G60">
            <v>1</v>
          </cell>
          <cell r="H60">
            <v>3</v>
          </cell>
          <cell r="I60">
            <v>0</v>
          </cell>
          <cell r="J60">
            <v>0</v>
          </cell>
        </row>
        <row r="61">
          <cell r="A61">
            <v>83</v>
          </cell>
          <cell r="B61" t="str">
            <v>Bến Tre</v>
          </cell>
          <cell r="C61">
            <v>2</v>
          </cell>
          <cell r="D61">
            <v>2</v>
          </cell>
          <cell r="E61">
            <v>0</v>
          </cell>
          <cell r="F61">
            <v>0</v>
          </cell>
          <cell r="G61">
            <v>1</v>
          </cell>
          <cell r="H61">
            <v>14</v>
          </cell>
          <cell r="I61">
            <v>0</v>
          </cell>
          <cell r="J61">
            <v>1</v>
          </cell>
        </row>
        <row r="62">
          <cell r="A62">
            <v>84</v>
          </cell>
          <cell r="B62" t="str">
            <v>Trà Vinh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A63">
            <v>86</v>
          </cell>
          <cell r="B63" t="str">
            <v>Vĩnh Long</v>
          </cell>
          <cell r="C63">
            <v>0</v>
          </cell>
          <cell r="D63">
            <v>1</v>
          </cell>
          <cell r="E63">
            <v>1</v>
          </cell>
          <cell r="F63">
            <v>3</v>
          </cell>
          <cell r="G63">
            <v>0</v>
          </cell>
          <cell r="H63">
            <v>4</v>
          </cell>
          <cell r="I63">
            <v>0</v>
          </cell>
          <cell r="J63">
            <v>3</v>
          </cell>
        </row>
        <row r="64">
          <cell r="A64">
            <v>87</v>
          </cell>
          <cell r="B64" t="str">
            <v>Đồng Tháp</v>
          </cell>
          <cell r="C64">
            <v>0</v>
          </cell>
          <cell r="D64">
            <v>0</v>
          </cell>
          <cell r="E64">
            <v>0</v>
          </cell>
          <cell r="F64">
            <v>7</v>
          </cell>
          <cell r="G64">
            <v>0</v>
          </cell>
          <cell r="H64">
            <v>3</v>
          </cell>
          <cell r="I64">
            <v>2</v>
          </cell>
          <cell r="J64">
            <v>2</v>
          </cell>
        </row>
        <row r="65">
          <cell r="A65">
            <v>89</v>
          </cell>
          <cell r="B65" t="str">
            <v>An Giang</v>
          </cell>
          <cell r="C65">
            <v>0</v>
          </cell>
          <cell r="D65">
            <v>0</v>
          </cell>
          <cell r="E65">
            <v>0</v>
          </cell>
          <cell r="F65">
            <v>2</v>
          </cell>
          <cell r="G65">
            <v>0</v>
          </cell>
          <cell r="H65">
            <v>3</v>
          </cell>
          <cell r="I65">
            <v>6</v>
          </cell>
          <cell r="J65">
            <v>4</v>
          </cell>
        </row>
        <row r="66">
          <cell r="A66">
            <v>91</v>
          </cell>
          <cell r="B66" t="str">
            <v>Kiên Giang</v>
          </cell>
          <cell r="C66">
            <v>2</v>
          </cell>
          <cell r="D66">
            <v>0</v>
          </cell>
          <cell r="E66">
            <v>0</v>
          </cell>
          <cell r="F66">
            <v>0</v>
          </cell>
          <cell r="G66">
            <v>6</v>
          </cell>
          <cell r="H66">
            <v>20</v>
          </cell>
          <cell r="I66">
            <v>1</v>
          </cell>
          <cell r="J66">
            <v>1</v>
          </cell>
        </row>
        <row r="67">
          <cell r="A67">
            <v>92</v>
          </cell>
          <cell r="B67" t="str">
            <v>Cần Thơ</v>
          </cell>
          <cell r="C67">
            <v>1</v>
          </cell>
          <cell r="D67">
            <v>0</v>
          </cell>
          <cell r="E67">
            <v>0</v>
          </cell>
          <cell r="F67">
            <v>3</v>
          </cell>
          <cell r="G67">
            <v>8</v>
          </cell>
          <cell r="H67">
            <v>3</v>
          </cell>
          <cell r="I67">
            <v>2</v>
          </cell>
          <cell r="J67">
            <v>5</v>
          </cell>
        </row>
        <row r="68">
          <cell r="A68">
            <v>93</v>
          </cell>
          <cell r="B68" t="str">
            <v>Hậu Giang</v>
          </cell>
          <cell r="C68">
            <v>0</v>
          </cell>
          <cell r="D68">
            <v>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</row>
        <row r="69">
          <cell r="A69">
            <v>94</v>
          </cell>
          <cell r="B69" t="str">
            <v>Sóc Trăng</v>
          </cell>
          <cell r="C69">
            <v>2</v>
          </cell>
          <cell r="D69">
            <v>0</v>
          </cell>
          <cell r="E69">
            <v>0</v>
          </cell>
          <cell r="F69">
            <v>4</v>
          </cell>
          <cell r="G69">
            <v>3</v>
          </cell>
          <cell r="H69">
            <v>3</v>
          </cell>
          <cell r="I69">
            <v>19</v>
          </cell>
          <cell r="J69">
            <v>9</v>
          </cell>
        </row>
        <row r="70">
          <cell r="A70">
            <v>95</v>
          </cell>
          <cell r="B70" t="str">
            <v>Bạc Liêu</v>
          </cell>
          <cell r="C70">
            <v>0</v>
          </cell>
          <cell r="D70">
            <v>1</v>
          </cell>
          <cell r="E70">
            <v>0</v>
          </cell>
          <cell r="F70">
            <v>14</v>
          </cell>
          <cell r="G70">
            <v>0</v>
          </cell>
          <cell r="H70">
            <v>3</v>
          </cell>
          <cell r="I70">
            <v>4</v>
          </cell>
          <cell r="J70">
            <v>3</v>
          </cell>
        </row>
        <row r="71">
          <cell r="A71">
            <v>96</v>
          </cell>
          <cell r="B71" t="str">
            <v>Cà Mau</v>
          </cell>
          <cell r="C71">
            <v>0</v>
          </cell>
          <cell r="D71">
            <v>1</v>
          </cell>
          <cell r="E71">
            <v>5</v>
          </cell>
          <cell r="F71">
            <v>2</v>
          </cell>
          <cell r="G71">
            <v>7</v>
          </cell>
          <cell r="H71">
            <v>10</v>
          </cell>
          <cell r="I71">
            <v>2</v>
          </cell>
          <cell r="J71">
            <v>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981</v>
          </cell>
          <cell r="D9">
            <v>295</v>
          </cell>
          <cell r="E9">
            <v>5804</v>
          </cell>
          <cell r="F9">
            <v>0</v>
          </cell>
          <cell r="G9">
            <v>2</v>
          </cell>
          <cell r="H9">
            <v>51</v>
          </cell>
          <cell r="I9">
            <v>410</v>
          </cell>
          <cell r="J9">
            <v>0</v>
          </cell>
        </row>
        <row r="10">
          <cell r="A10" t="str">
            <v>02</v>
          </cell>
          <cell r="B10" t="str">
            <v>Hà Giang</v>
          </cell>
          <cell r="C10">
            <v>3962</v>
          </cell>
          <cell r="D10">
            <v>528</v>
          </cell>
          <cell r="E10">
            <v>2544</v>
          </cell>
          <cell r="F10">
            <v>5625</v>
          </cell>
          <cell r="G10">
            <v>6469</v>
          </cell>
          <cell r="H10">
            <v>800</v>
          </cell>
          <cell r="I10">
            <v>880</v>
          </cell>
          <cell r="J10">
            <v>842</v>
          </cell>
        </row>
        <row r="11">
          <cell r="A11" t="str">
            <v>04</v>
          </cell>
          <cell r="B11" t="str">
            <v>Cao Bằng</v>
          </cell>
          <cell r="C11">
            <v>3486</v>
          </cell>
          <cell r="D11">
            <v>112</v>
          </cell>
          <cell r="E11">
            <v>1804</v>
          </cell>
          <cell r="F11">
            <v>904</v>
          </cell>
          <cell r="G11">
            <v>7970</v>
          </cell>
          <cell r="H11">
            <v>761</v>
          </cell>
          <cell r="I11">
            <v>271</v>
          </cell>
          <cell r="J11">
            <v>1731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>
            <v>2647</v>
          </cell>
          <cell r="D13">
            <v>742</v>
          </cell>
          <cell r="E13">
            <v>1093</v>
          </cell>
          <cell r="F13">
            <v>3617</v>
          </cell>
          <cell r="G13">
            <v>1891</v>
          </cell>
          <cell r="H13">
            <v>447</v>
          </cell>
          <cell r="I13">
            <v>655</v>
          </cell>
          <cell r="J13">
            <v>387</v>
          </cell>
        </row>
        <row r="14">
          <cell r="A14">
            <v>10</v>
          </cell>
          <cell r="B14" t="str">
            <v>Lào Cai</v>
          </cell>
          <cell r="C14">
            <v>1962</v>
          </cell>
          <cell r="D14">
            <v>701</v>
          </cell>
          <cell r="E14">
            <v>1136</v>
          </cell>
          <cell r="F14">
            <v>2575</v>
          </cell>
          <cell r="G14">
            <v>4487</v>
          </cell>
          <cell r="H14">
            <v>1013</v>
          </cell>
          <cell r="I14">
            <v>1958</v>
          </cell>
          <cell r="J14">
            <v>243</v>
          </cell>
        </row>
        <row r="15">
          <cell r="A15">
            <v>11</v>
          </cell>
          <cell r="B15" t="str">
            <v>Điện Biên</v>
          </cell>
          <cell r="C15">
            <v>6420</v>
          </cell>
          <cell r="D15">
            <v>323</v>
          </cell>
          <cell r="E15">
            <v>636</v>
          </cell>
          <cell r="F15">
            <v>336</v>
          </cell>
          <cell r="G15">
            <v>1642</v>
          </cell>
          <cell r="H15">
            <v>635</v>
          </cell>
          <cell r="I15">
            <v>365</v>
          </cell>
          <cell r="J15">
            <v>955</v>
          </cell>
        </row>
        <row r="16">
          <cell r="A16">
            <v>12</v>
          </cell>
          <cell r="B16" t="str">
            <v>Lai Châu</v>
          </cell>
          <cell r="C16">
            <v>2040</v>
          </cell>
          <cell r="D16">
            <v>261</v>
          </cell>
          <cell r="E16">
            <v>737</v>
          </cell>
          <cell r="F16">
            <v>159</v>
          </cell>
          <cell r="G16">
            <v>11687</v>
          </cell>
          <cell r="H16">
            <v>443</v>
          </cell>
          <cell r="I16">
            <v>102</v>
          </cell>
          <cell r="J16">
            <v>141</v>
          </cell>
        </row>
        <row r="17">
          <cell r="A17">
            <v>14</v>
          </cell>
          <cell r="B17" t="str">
            <v>Sơn La</v>
          </cell>
          <cell r="C17">
            <v>6669</v>
          </cell>
          <cell r="D17">
            <v>1377</v>
          </cell>
          <cell r="E17">
            <v>4309</v>
          </cell>
          <cell r="F17">
            <v>596</v>
          </cell>
          <cell r="G17">
            <v>3234</v>
          </cell>
          <cell r="H17">
            <v>716</v>
          </cell>
          <cell r="I17">
            <v>160</v>
          </cell>
          <cell r="J17">
            <v>283</v>
          </cell>
        </row>
        <row r="18">
          <cell r="A18">
            <v>15</v>
          </cell>
          <cell r="B18" t="str">
            <v>Yên Bái</v>
          </cell>
          <cell r="C18">
            <v>8468</v>
          </cell>
          <cell r="D18">
            <v>1673</v>
          </cell>
          <cell r="E18">
            <v>3361</v>
          </cell>
          <cell r="F18">
            <v>2220</v>
          </cell>
          <cell r="G18">
            <v>6567</v>
          </cell>
          <cell r="H18">
            <v>700</v>
          </cell>
          <cell r="I18">
            <v>610</v>
          </cell>
          <cell r="J18">
            <v>1205</v>
          </cell>
        </row>
        <row r="19">
          <cell r="A19">
            <v>17</v>
          </cell>
          <cell r="B19" t="str">
            <v>Hoà Bình</v>
          </cell>
          <cell r="C19">
            <v>5009</v>
          </cell>
          <cell r="D19">
            <v>5501</v>
          </cell>
          <cell r="E19">
            <v>1962</v>
          </cell>
          <cell r="F19">
            <v>328</v>
          </cell>
          <cell r="G19">
            <v>2882</v>
          </cell>
          <cell r="H19">
            <v>320</v>
          </cell>
          <cell r="I19">
            <v>919</v>
          </cell>
          <cell r="J19">
            <v>175</v>
          </cell>
        </row>
        <row r="20">
          <cell r="A20">
            <v>19</v>
          </cell>
          <cell r="B20" t="str">
            <v>Thái Nguyên</v>
          </cell>
          <cell r="C20">
            <v>647</v>
          </cell>
          <cell r="D20">
            <v>1282</v>
          </cell>
          <cell r="E20">
            <v>449</v>
          </cell>
          <cell r="F20">
            <v>1534</v>
          </cell>
          <cell r="G20">
            <v>2853</v>
          </cell>
          <cell r="H20">
            <v>123</v>
          </cell>
          <cell r="I20">
            <v>0</v>
          </cell>
          <cell r="J20">
            <v>0</v>
          </cell>
        </row>
        <row r="21">
          <cell r="A21">
            <v>20</v>
          </cell>
          <cell r="B21" t="str">
            <v>Lạng Sơn</v>
          </cell>
          <cell r="C21">
            <v>1367</v>
          </cell>
          <cell r="D21">
            <v>2</v>
          </cell>
          <cell r="E21">
            <v>181</v>
          </cell>
          <cell r="F21">
            <v>136</v>
          </cell>
          <cell r="G21">
            <v>8406</v>
          </cell>
          <cell r="H21">
            <v>54</v>
          </cell>
          <cell r="I21">
            <v>154</v>
          </cell>
          <cell r="J21">
            <v>87</v>
          </cell>
        </row>
        <row r="22">
          <cell r="A22">
            <v>22</v>
          </cell>
          <cell r="B22" t="str">
            <v>Quảng Ninh</v>
          </cell>
          <cell r="C22">
            <v>146</v>
          </cell>
          <cell r="D22">
            <v>78</v>
          </cell>
          <cell r="E22">
            <v>197</v>
          </cell>
          <cell r="F22">
            <v>100</v>
          </cell>
          <cell r="G22">
            <v>11</v>
          </cell>
          <cell r="H22">
            <v>0</v>
          </cell>
          <cell r="I22">
            <v>1352</v>
          </cell>
          <cell r="J22">
            <v>24</v>
          </cell>
        </row>
        <row r="23">
          <cell r="A23">
            <v>24</v>
          </cell>
          <cell r="B23" t="str">
            <v>Bắc Giang</v>
          </cell>
          <cell r="C23">
            <v>24</v>
          </cell>
          <cell r="D23">
            <v>67</v>
          </cell>
          <cell r="E23">
            <v>104</v>
          </cell>
          <cell r="F23">
            <v>40</v>
          </cell>
          <cell r="G23">
            <v>532</v>
          </cell>
          <cell r="H23">
            <v>1</v>
          </cell>
          <cell r="I23">
            <v>205</v>
          </cell>
          <cell r="J23">
            <v>29</v>
          </cell>
        </row>
        <row r="24">
          <cell r="A24">
            <v>25</v>
          </cell>
          <cell r="B24" t="str">
            <v>Phú Thọ</v>
          </cell>
          <cell r="C24">
            <v>1484</v>
          </cell>
          <cell r="D24">
            <v>525</v>
          </cell>
          <cell r="E24">
            <v>5478</v>
          </cell>
          <cell r="F24">
            <v>579</v>
          </cell>
          <cell r="G24">
            <v>7870</v>
          </cell>
          <cell r="H24">
            <v>81</v>
          </cell>
          <cell r="I24">
            <v>48</v>
          </cell>
          <cell r="J24">
            <v>30</v>
          </cell>
        </row>
        <row r="25">
          <cell r="A25">
            <v>26</v>
          </cell>
          <cell r="B25" t="str">
            <v>Vĩnh Phúc</v>
          </cell>
          <cell r="C25">
            <v>1955</v>
          </cell>
          <cell r="D25">
            <v>215</v>
          </cell>
          <cell r="E25">
            <v>0</v>
          </cell>
          <cell r="F25">
            <v>0</v>
          </cell>
          <cell r="G25">
            <v>1207</v>
          </cell>
          <cell r="H25">
            <v>40</v>
          </cell>
          <cell r="I25">
            <v>155</v>
          </cell>
          <cell r="J25">
            <v>10</v>
          </cell>
        </row>
        <row r="26">
          <cell r="A26">
            <v>27</v>
          </cell>
          <cell r="B26" t="str">
            <v>Bắc Ninh</v>
          </cell>
          <cell r="C26">
            <v>39</v>
          </cell>
          <cell r="D26">
            <v>0</v>
          </cell>
          <cell r="E26">
            <v>0</v>
          </cell>
          <cell r="F26">
            <v>0</v>
          </cell>
          <cell r="G26">
            <v>305</v>
          </cell>
          <cell r="H26">
            <v>0</v>
          </cell>
          <cell r="I26">
            <v>0</v>
          </cell>
          <cell r="J26">
            <v>0</v>
          </cell>
        </row>
        <row r="27">
          <cell r="A27">
            <v>30</v>
          </cell>
          <cell r="B27" t="str">
            <v>Hải Dương</v>
          </cell>
          <cell r="C27">
            <v>45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40</v>
          </cell>
          <cell r="J27">
            <v>0</v>
          </cell>
        </row>
        <row r="28">
          <cell r="A28">
            <v>31</v>
          </cell>
          <cell r="B28" t="str">
            <v>Hải Phòng</v>
          </cell>
          <cell r="C28">
            <v>9</v>
          </cell>
          <cell r="D28">
            <v>5</v>
          </cell>
          <cell r="E28">
            <v>0</v>
          </cell>
          <cell r="F28">
            <v>2</v>
          </cell>
          <cell r="G28">
            <v>0</v>
          </cell>
          <cell r="H28">
            <v>0</v>
          </cell>
          <cell r="I28">
            <v>16</v>
          </cell>
          <cell r="J28">
            <v>0</v>
          </cell>
        </row>
        <row r="29">
          <cell r="A29">
            <v>33</v>
          </cell>
          <cell r="B29" t="str">
            <v>Hưng Yên</v>
          </cell>
          <cell r="C29">
            <v>540</v>
          </cell>
          <cell r="D29">
            <v>0</v>
          </cell>
          <cell r="E29">
            <v>30</v>
          </cell>
          <cell r="F29">
            <v>0</v>
          </cell>
          <cell r="G29">
            <v>11</v>
          </cell>
          <cell r="H29">
            <v>0</v>
          </cell>
          <cell r="I29">
            <v>502</v>
          </cell>
          <cell r="J29">
            <v>173</v>
          </cell>
        </row>
        <row r="30">
          <cell r="A30">
            <v>34</v>
          </cell>
          <cell r="B30" t="str">
            <v>Thái Bình</v>
          </cell>
          <cell r="C30">
            <v>3356</v>
          </cell>
          <cell r="D30">
            <v>24</v>
          </cell>
          <cell r="E30">
            <v>0</v>
          </cell>
          <cell r="F30">
            <v>0</v>
          </cell>
          <cell r="G30">
            <v>0</v>
          </cell>
          <cell r="H30">
            <v>5</v>
          </cell>
          <cell r="I30">
            <v>291</v>
          </cell>
          <cell r="J30">
            <v>479</v>
          </cell>
        </row>
        <row r="31">
          <cell r="A31">
            <v>35</v>
          </cell>
          <cell r="B31" t="str">
            <v>Hà Nam</v>
          </cell>
          <cell r="C31">
            <v>3069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23</v>
          </cell>
          <cell r="I31">
            <v>0</v>
          </cell>
          <cell r="J31">
            <v>7</v>
          </cell>
        </row>
        <row r="32">
          <cell r="A32">
            <v>36</v>
          </cell>
          <cell r="B32" t="str">
            <v>Nam Định</v>
          </cell>
          <cell r="C32">
            <v>19242</v>
          </cell>
          <cell r="D32">
            <v>2034</v>
          </cell>
          <cell r="E32">
            <v>0</v>
          </cell>
          <cell r="F32">
            <v>0</v>
          </cell>
          <cell r="G32">
            <v>0</v>
          </cell>
          <cell r="H32">
            <v>104</v>
          </cell>
          <cell r="I32">
            <v>82</v>
          </cell>
          <cell r="J32">
            <v>462</v>
          </cell>
        </row>
        <row r="33">
          <cell r="A33">
            <v>37</v>
          </cell>
          <cell r="B33" t="str">
            <v>Ninh Bình</v>
          </cell>
          <cell r="C33">
            <v>8001</v>
          </cell>
          <cell r="D33">
            <v>10738</v>
          </cell>
          <cell r="E33">
            <v>1821</v>
          </cell>
          <cell r="F33">
            <v>399</v>
          </cell>
          <cell r="G33">
            <v>0</v>
          </cell>
          <cell r="H33">
            <v>0</v>
          </cell>
          <cell r="I33">
            <v>1377</v>
          </cell>
          <cell r="J33">
            <v>3061</v>
          </cell>
        </row>
        <row r="34">
          <cell r="A34">
            <v>38</v>
          </cell>
          <cell r="B34" t="str">
            <v>Thanh Hoá</v>
          </cell>
          <cell r="C34">
            <v>923</v>
          </cell>
          <cell r="D34">
            <v>5587</v>
          </cell>
          <cell r="E34">
            <v>22798</v>
          </cell>
          <cell r="F34">
            <v>3907</v>
          </cell>
          <cell r="G34">
            <v>144</v>
          </cell>
          <cell r="H34">
            <v>40</v>
          </cell>
          <cell r="I34">
            <v>490</v>
          </cell>
          <cell r="J34">
            <v>1256</v>
          </cell>
        </row>
        <row r="35">
          <cell r="A35">
            <v>40</v>
          </cell>
          <cell r="B35" t="str">
            <v>Nghệ An</v>
          </cell>
          <cell r="C35">
            <v>11506</v>
          </cell>
          <cell r="D35">
            <v>12475</v>
          </cell>
          <cell r="E35">
            <v>6626</v>
          </cell>
          <cell r="F35">
            <v>6845</v>
          </cell>
          <cell r="G35">
            <v>2904</v>
          </cell>
          <cell r="H35">
            <v>45</v>
          </cell>
          <cell r="I35">
            <v>0</v>
          </cell>
          <cell r="J35">
            <v>0</v>
          </cell>
        </row>
        <row r="36">
          <cell r="A36">
            <v>42</v>
          </cell>
          <cell r="B36" t="str">
            <v>Hà Tĩnh</v>
          </cell>
          <cell r="C36">
            <v>31573</v>
          </cell>
          <cell r="D36">
            <v>108607</v>
          </cell>
          <cell r="E36">
            <v>15</v>
          </cell>
          <cell r="F36">
            <v>6285</v>
          </cell>
          <cell r="G36">
            <v>4732</v>
          </cell>
          <cell r="H36">
            <v>666</v>
          </cell>
          <cell r="I36">
            <v>582</v>
          </cell>
          <cell r="J36">
            <v>3957</v>
          </cell>
        </row>
        <row r="37">
          <cell r="A37">
            <v>44</v>
          </cell>
          <cell r="B37" t="str">
            <v>Quảng Bình</v>
          </cell>
          <cell r="C37">
            <v>95185</v>
          </cell>
          <cell r="D37">
            <v>95727</v>
          </cell>
          <cell r="E37">
            <v>0</v>
          </cell>
          <cell r="F37">
            <v>11322</v>
          </cell>
          <cell r="G37">
            <v>130110</v>
          </cell>
          <cell r="H37">
            <v>28</v>
          </cell>
          <cell r="I37">
            <v>42</v>
          </cell>
          <cell r="J37">
            <v>261</v>
          </cell>
        </row>
        <row r="38">
          <cell r="A38">
            <v>45</v>
          </cell>
          <cell r="B38" t="str">
            <v>Quảng Trị</v>
          </cell>
          <cell r="C38">
            <v>4884</v>
          </cell>
          <cell r="D38">
            <v>4418</v>
          </cell>
          <cell r="E38">
            <v>683</v>
          </cell>
          <cell r="F38">
            <v>1529</v>
          </cell>
          <cell r="G38">
            <v>56091</v>
          </cell>
          <cell r="H38">
            <v>234</v>
          </cell>
          <cell r="I38">
            <v>974</v>
          </cell>
          <cell r="J38">
            <v>5</v>
          </cell>
        </row>
        <row r="39">
          <cell r="A39">
            <v>46</v>
          </cell>
          <cell r="B39" t="str">
            <v>Thừa Thiên Huế</v>
          </cell>
          <cell r="C39">
            <v>1039</v>
          </cell>
          <cell r="D39">
            <v>79942</v>
          </cell>
          <cell r="E39">
            <v>808</v>
          </cell>
          <cell r="F39">
            <v>0</v>
          </cell>
          <cell r="G39">
            <v>27766</v>
          </cell>
          <cell r="H39">
            <v>56</v>
          </cell>
          <cell r="I39">
            <v>34</v>
          </cell>
          <cell r="J39">
            <v>388</v>
          </cell>
        </row>
        <row r="40">
          <cell r="A40">
            <v>48</v>
          </cell>
          <cell r="B40" t="str">
            <v>Đà Nẵng</v>
          </cell>
          <cell r="C40">
            <v>1</v>
          </cell>
          <cell r="D40">
            <v>11520</v>
          </cell>
          <cell r="E40">
            <v>2658</v>
          </cell>
          <cell r="F40">
            <v>0</v>
          </cell>
          <cell r="G40">
            <v>1055</v>
          </cell>
          <cell r="H40">
            <v>19</v>
          </cell>
          <cell r="I40">
            <v>447</v>
          </cell>
          <cell r="J40">
            <v>0</v>
          </cell>
        </row>
        <row r="41">
          <cell r="A41">
            <v>49</v>
          </cell>
          <cell r="B41" t="str">
            <v>Quảng Nam</v>
          </cell>
          <cell r="C41">
            <v>1526</v>
          </cell>
          <cell r="D41">
            <v>5265</v>
          </cell>
          <cell r="E41">
            <v>17681</v>
          </cell>
          <cell r="F41">
            <v>108</v>
          </cell>
          <cell r="G41">
            <v>107998</v>
          </cell>
          <cell r="H41">
            <v>245</v>
          </cell>
          <cell r="I41">
            <v>914</v>
          </cell>
          <cell r="J41">
            <v>90</v>
          </cell>
        </row>
        <row r="42">
          <cell r="A42">
            <v>51</v>
          </cell>
          <cell r="B42" t="str">
            <v>Quảng Ngãi</v>
          </cell>
          <cell r="C42">
            <v>1919</v>
          </cell>
          <cell r="D42">
            <v>50940</v>
          </cell>
          <cell r="E42">
            <v>1591</v>
          </cell>
          <cell r="F42">
            <v>638</v>
          </cell>
          <cell r="G42">
            <v>172169</v>
          </cell>
          <cell r="H42">
            <v>351</v>
          </cell>
          <cell r="I42">
            <v>12665</v>
          </cell>
          <cell r="J42">
            <v>28</v>
          </cell>
        </row>
        <row r="43">
          <cell r="A43">
            <v>52</v>
          </cell>
          <cell r="B43" t="str">
            <v>Bình Định</v>
          </cell>
          <cell r="C43">
            <v>111884</v>
          </cell>
          <cell r="D43">
            <v>46355</v>
          </cell>
          <cell r="E43">
            <v>10186</v>
          </cell>
          <cell r="F43">
            <v>1318</v>
          </cell>
          <cell r="G43">
            <v>11789</v>
          </cell>
          <cell r="H43">
            <v>27</v>
          </cell>
          <cell r="I43">
            <v>11</v>
          </cell>
          <cell r="J43">
            <v>134</v>
          </cell>
        </row>
        <row r="44">
          <cell r="A44">
            <v>54</v>
          </cell>
          <cell r="B44" t="str">
            <v>Phú Yên</v>
          </cell>
          <cell r="C44">
            <v>9728</v>
          </cell>
          <cell r="D44">
            <v>24102</v>
          </cell>
          <cell r="E44">
            <v>2074</v>
          </cell>
          <cell r="F44">
            <v>240</v>
          </cell>
          <cell r="G44">
            <v>214</v>
          </cell>
          <cell r="H44">
            <v>42</v>
          </cell>
          <cell r="I44">
            <v>232</v>
          </cell>
          <cell r="J44">
            <v>678</v>
          </cell>
        </row>
        <row r="45">
          <cell r="A45">
            <v>56</v>
          </cell>
          <cell r="B45" t="str">
            <v>Khánh Hoà</v>
          </cell>
          <cell r="C45">
            <v>131</v>
          </cell>
          <cell r="D45">
            <v>118402</v>
          </cell>
          <cell r="E45">
            <v>352</v>
          </cell>
          <cell r="F45">
            <v>6</v>
          </cell>
          <cell r="G45">
            <v>336</v>
          </cell>
          <cell r="H45">
            <v>2</v>
          </cell>
          <cell r="I45">
            <v>0</v>
          </cell>
          <cell r="J45">
            <v>0</v>
          </cell>
        </row>
        <row r="46">
          <cell r="A46">
            <v>58</v>
          </cell>
          <cell r="B46" t="str">
            <v>Ninh Thuận</v>
          </cell>
          <cell r="C46">
            <v>1226</v>
          </cell>
          <cell r="D46">
            <v>68</v>
          </cell>
          <cell r="E46">
            <v>189</v>
          </cell>
          <cell r="F46">
            <v>0</v>
          </cell>
          <cell r="G46">
            <v>122</v>
          </cell>
          <cell r="H46">
            <v>399</v>
          </cell>
          <cell r="I46">
            <v>1247</v>
          </cell>
          <cell r="J46">
            <v>0</v>
          </cell>
        </row>
        <row r="47">
          <cell r="A47">
            <v>60</v>
          </cell>
          <cell r="B47" t="str">
            <v>Bình Thuận</v>
          </cell>
          <cell r="C47">
            <v>1099</v>
          </cell>
          <cell r="D47">
            <v>181</v>
          </cell>
          <cell r="E47">
            <v>1046</v>
          </cell>
          <cell r="F47">
            <v>468</v>
          </cell>
          <cell r="G47">
            <v>94</v>
          </cell>
          <cell r="H47">
            <v>237</v>
          </cell>
          <cell r="I47">
            <v>109</v>
          </cell>
          <cell r="J47">
            <v>167</v>
          </cell>
        </row>
        <row r="48">
          <cell r="A48">
            <v>62</v>
          </cell>
          <cell r="B48" t="str">
            <v>Kon Tum</v>
          </cell>
          <cell r="C48">
            <v>1</v>
          </cell>
          <cell r="D48">
            <v>68</v>
          </cell>
          <cell r="E48">
            <v>244</v>
          </cell>
          <cell r="F48">
            <v>74</v>
          </cell>
          <cell r="G48">
            <v>2089</v>
          </cell>
          <cell r="H48">
            <v>121</v>
          </cell>
          <cell r="I48">
            <v>549</v>
          </cell>
          <cell r="J48">
            <v>550</v>
          </cell>
        </row>
        <row r="49">
          <cell r="A49">
            <v>64</v>
          </cell>
          <cell r="B49" t="str">
            <v>Gia Lai</v>
          </cell>
          <cell r="C49">
            <v>25</v>
          </cell>
          <cell r="D49">
            <v>441</v>
          </cell>
          <cell r="E49">
            <v>70</v>
          </cell>
          <cell r="F49">
            <v>197</v>
          </cell>
          <cell r="G49">
            <v>1447</v>
          </cell>
          <cell r="H49">
            <v>153</v>
          </cell>
          <cell r="I49">
            <v>166</v>
          </cell>
          <cell r="J49">
            <v>530</v>
          </cell>
        </row>
        <row r="50">
          <cell r="A50">
            <v>66</v>
          </cell>
          <cell r="B50" t="str">
            <v>Đắk Lắk</v>
          </cell>
          <cell r="C50">
            <v>1568</v>
          </cell>
          <cell r="D50">
            <v>2597</v>
          </cell>
          <cell r="E50">
            <v>1147</v>
          </cell>
          <cell r="F50">
            <v>1874</v>
          </cell>
          <cell r="G50">
            <v>1244</v>
          </cell>
          <cell r="H50">
            <v>147</v>
          </cell>
          <cell r="I50">
            <v>54</v>
          </cell>
          <cell r="J50">
            <v>227</v>
          </cell>
        </row>
        <row r="51">
          <cell r="A51">
            <v>67</v>
          </cell>
          <cell r="B51" t="str">
            <v>Đắk Nông</v>
          </cell>
          <cell r="C51">
            <v>50</v>
          </cell>
          <cell r="D51">
            <v>45</v>
          </cell>
          <cell r="E51">
            <v>41</v>
          </cell>
          <cell r="F51">
            <v>65</v>
          </cell>
          <cell r="G51">
            <v>177</v>
          </cell>
          <cell r="H51">
            <v>70</v>
          </cell>
          <cell r="I51">
            <v>94</v>
          </cell>
          <cell r="J51">
            <v>188</v>
          </cell>
        </row>
        <row r="52">
          <cell r="A52">
            <v>68</v>
          </cell>
          <cell r="B52" t="str">
            <v>Lâm Đồng</v>
          </cell>
          <cell r="C52">
            <v>476</v>
          </cell>
          <cell r="D52">
            <v>193</v>
          </cell>
          <cell r="E52">
            <v>121</v>
          </cell>
          <cell r="F52">
            <v>2140</v>
          </cell>
          <cell r="G52">
            <v>25</v>
          </cell>
          <cell r="H52">
            <v>235</v>
          </cell>
          <cell r="I52">
            <v>311</v>
          </cell>
          <cell r="J52">
            <v>1006</v>
          </cell>
        </row>
        <row r="53">
          <cell r="A53">
            <v>70</v>
          </cell>
          <cell r="B53" t="str">
            <v>Bình Phước</v>
          </cell>
          <cell r="C53">
            <v>568</v>
          </cell>
          <cell r="D53">
            <v>151</v>
          </cell>
          <cell r="E53">
            <v>0</v>
          </cell>
          <cell r="F53">
            <v>337</v>
          </cell>
          <cell r="G53">
            <v>259</v>
          </cell>
          <cell r="H53">
            <v>200</v>
          </cell>
          <cell r="I53">
            <v>38</v>
          </cell>
          <cell r="J53">
            <v>321</v>
          </cell>
        </row>
        <row r="54">
          <cell r="A54">
            <v>72</v>
          </cell>
          <cell r="B54" t="str">
            <v>Tây Ninh</v>
          </cell>
          <cell r="C54">
            <v>4449</v>
          </cell>
          <cell r="D54">
            <v>31</v>
          </cell>
          <cell r="E54">
            <v>282</v>
          </cell>
          <cell r="F54">
            <v>1500</v>
          </cell>
          <cell r="G54">
            <v>142</v>
          </cell>
          <cell r="H54">
            <v>633</v>
          </cell>
          <cell r="I54">
            <v>1309</v>
          </cell>
          <cell r="J54">
            <v>1551</v>
          </cell>
        </row>
        <row r="55">
          <cell r="A55">
            <v>74</v>
          </cell>
          <cell r="B55" t="str">
            <v>Bình Dương</v>
          </cell>
          <cell r="C55">
            <v>253</v>
          </cell>
          <cell r="D55">
            <v>323</v>
          </cell>
          <cell r="E55">
            <v>6904</v>
          </cell>
          <cell r="F55">
            <v>147</v>
          </cell>
          <cell r="G55">
            <v>59</v>
          </cell>
          <cell r="H55">
            <v>517</v>
          </cell>
          <cell r="I55">
            <v>27</v>
          </cell>
          <cell r="J55">
            <v>50</v>
          </cell>
        </row>
        <row r="56">
          <cell r="A56">
            <v>75</v>
          </cell>
          <cell r="B56" t="str">
            <v>Đồng Nai</v>
          </cell>
          <cell r="C56">
            <v>0</v>
          </cell>
          <cell r="D56">
            <v>20</v>
          </cell>
          <cell r="E56">
            <v>0</v>
          </cell>
          <cell r="F56">
            <v>1567</v>
          </cell>
          <cell r="G56">
            <v>60</v>
          </cell>
          <cell r="H56">
            <v>28</v>
          </cell>
          <cell r="I56">
            <v>59</v>
          </cell>
          <cell r="J56">
            <v>208</v>
          </cell>
        </row>
        <row r="57">
          <cell r="A57">
            <v>77</v>
          </cell>
          <cell r="B57" t="str">
            <v>Bà Rịa-Vũng Tàu(***)</v>
          </cell>
          <cell r="C57">
            <v>0</v>
          </cell>
          <cell r="D57">
            <v>0</v>
          </cell>
          <cell r="E57">
            <v>116</v>
          </cell>
          <cell r="F57">
            <v>0</v>
          </cell>
          <cell r="G57">
            <v>0</v>
          </cell>
          <cell r="H57">
            <v>1</v>
          </cell>
          <cell r="I57">
            <v>86</v>
          </cell>
          <cell r="J57">
            <v>93</v>
          </cell>
        </row>
        <row r="58">
          <cell r="A58">
            <v>79</v>
          </cell>
          <cell r="B58" t="str">
            <v>TP Hồ Chí Minh</v>
          </cell>
          <cell r="C58">
            <v>3385</v>
          </cell>
          <cell r="D58">
            <v>5</v>
          </cell>
          <cell r="E58">
            <v>27</v>
          </cell>
          <cell r="F58">
            <v>0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</row>
        <row r="59">
          <cell r="A59">
            <v>80</v>
          </cell>
          <cell r="B59" t="str">
            <v>Long An</v>
          </cell>
          <cell r="C59">
            <v>32</v>
          </cell>
          <cell r="D59">
            <v>84</v>
          </cell>
          <cell r="E59">
            <v>4</v>
          </cell>
          <cell r="F59">
            <v>701</v>
          </cell>
          <cell r="G59">
            <v>280</v>
          </cell>
          <cell r="H59">
            <v>177</v>
          </cell>
          <cell r="I59">
            <v>1532</v>
          </cell>
          <cell r="J59">
            <v>447</v>
          </cell>
        </row>
        <row r="60">
          <cell r="A60">
            <v>82</v>
          </cell>
          <cell r="B60" t="str">
            <v>Tiền Giang</v>
          </cell>
          <cell r="C60">
            <v>148</v>
          </cell>
          <cell r="D60">
            <v>89</v>
          </cell>
          <cell r="E60">
            <v>57</v>
          </cell>
          <cell r="F60">
            <v>324</v>
          </cell>
          <cell r="G60">
            <v>272</v>
          </cell>
          <cell r="H60">
            <v>279</v>
          </cell>
          <cell r="I60">
            <v>230</v>
          </cell>
          <cell r="J60">
            <v>321</v>
          </cell>
        </row>
        <row r="61">
          <cell r="A61">
            <v>83</v>
          </cell>
          <cell r="B61" t="str">
            <v>Bến Tre</v>
          </cell>
          <cell r="C61">
            <v>27</v>
          </cell>
          <cell r="D61">
            <v>88</v>
          </cell>
          <cell r="E61">
            <v>3</v>
          </cell>
          <cell r="F61">
            <v>189</v>
          </cell>
          <cell r="G61">
            <v>171</v>
          </cell>
          <cell r="H61">
            <v>393</v>
          </cell>
          <cell r="I61">
            <v>67</v>
          </cell>
          <cell r="J61">
            <v>132</v>
          </cell>
        </row>
        <row r="62">
          <cell r="A62">
            <v>84</v>
          </cell>
          <cell r="B62" t="str">
            <v>Trà Vinh</v>
          </cell>
          <cell r="C62">
            <v>43</v>
          </cell>
          <cell r="D62">
            <v>58</v>
          </cell>
          <cell r="E62">
            <v>101</v>
          </cell>
          <cell r="F62">
            <v>76</v>
          </cell>
          <cell r="G62">
            <v>252</v>
          </cell>
          <cell r="H62">
            <v>17</v>
          </cell>
          <cell r="I62">
            <v>43</v>
          </cell>
          <cell r="J62">
            <v>73</v>
          </cell>
        </row>
        <row r="63">
          <cell r="A63">
            <v>86</v>
          </cell>
          <cell r="B63" t="str">
            <v>Vĩnh Long</v>
          </cell>
          <cell r="C63">
            <v>73</v>
          </cell>
          <cell r="D63">
            <v>99</v>
          </cell>
          <cell r="E63">
            <v>7629</v>
          </cell>
          <cell r="F63">
            <v>426</v>
          </cell>
          <cell r="G63">
            <v>260</v>
          </cell>
          <cell r="H63">
            <v>275</v>
          </cell>
          <cell r="I63">
            <v>118</v>
          </cell>
          <cell r="J63">
            <v>73</v>
          </cell>
        </row>
        <row r="64">
          <cell r="A64">
            <v>87</v>
          </cell>
          <cell r="B64" t="str">
            <v>Đồng Tháp</v>
          </cell>
          <cell r="C64">
            <v>275</v>
          </cell>
          <cell r="D64">
            <v>505</v>
          </cell>
          <cell r="E64">
            <v>0</v>
          </cell>
          <cell r="F64">
            <v>160</v>
          </cell>
          <cell r="G64">
            <v>142</v>
          </cell>
          <cell r="H64">
            <v>290</v>
          </cell>
          <cell r="I64">
            <v>270</v>
          </cell>
          <cell r="J64">
            <v>411</v>
          </cell>
        </row>
        <row r="65">
          <cell r="A65">
            <v>89</v>
          </cell>
          <cell r="B65" t="str">
            <v>An Giang</v>
          </cell>
          <cell r="C65">
            <v>619</v>
          </cell>
          <cell r="D65">
            <v>124</v>
          </cell>
          <cell r="E65">
            <v>1732</v>
          </cell>
          <cell r="F65">
            <v>898</v>
          </cell>
          <cell r="G65">
            <v>214</v>
          </cell>
          <cell r="H65">
            <v>87</v>
          </cell>
          <cell r="I65">
            <v>590</v>
          </cell>
          <cell r="J65">
            <v>798</v>
          </cell>
        </row>
        <row r="66">
          <cell r="A66">
            <v>91</v>
          </cell>
          <cell r="B66" t="str">
            <v>Kiên Giang</v>
          </cell>
          <cell r="C66">
            <v>5943</v>
          </cell>
          <cell r="D66">
            <v>528</v>
          </cell>
          <cell r="E66">
            <v>0</v>
          </cell>
          <cell r="F66">
            <v>4109</v>
          </cell>
          <cell r="G66">
            <v>720</v>
          </cell>
          <cell r="H66">
            <v>362</v>
          </cell>
          <cell r="I66">
            <v>51</v>
          </cell>
          <cell r="J66">
            <v>2</v>
          </cell>
        </row>
        <row r="67">
          <cell r="A67">
            <v>92</v>
          </cell>
          <cell r="B67" t="str">
            <v>Cần Thơ</v>
          </cell>
          <cell r="C67">
            <v>175</v>
          </cell>
          <cell r="D67">
            <v>44</v>
          </cell>
          <cell r="E67">
            <v>40</v>
          </cell>
          <cell r="F67">
            <v>269</v>
          </cell>
          <cell r="G67">
            <v>598</v>
          </cell>
          <cell r="H67">
            <v>97</v>
          </cell>
          <cell r="I67">
            <v>152</v>
          </cell>
          <cell r="J67">
            <v>109</v>
          </cell>
        </row>
        <row r="68">
          <cell r="A68">
            <v>93</v>
          </cell>
          <cell r="B68" t="str">
            <v>Hậu Giang</v>
          </cell>
          <cell r="C68">
            <v>0</v>
          </cell>
          <cell r="D68">
            <v>65</v>
          </cell>
          <cell r="E68">
            <v>948</v>
          </cell>
          <cell r="F68">
            <v>250</v>
          </cell>
          <cell r="G68">
            <v>130</v>
          </cell>
          <cell r="H68">
            <v>82</v>
          </cell>
          <cell r="I68">
            <v>81</v>
          </cell>
          <cell r="J68">
            <v>103</v>
          </cell>
        </row>
        <row r="69">
          <cell r="A69">
            <v>94</v>
          </cell>
          <cell r="B69" t="str">
            <v>Sóc Trăng</v>
          </cell>
          <cell r="C69">
            <v>159</v>
          </cell>
          <cell r="D69">
            <v>28</v>
          </cell>
          <cell r="E69">
            <v>150</v>
          </cell>
          <cell r="F69">
            <v>442</v>
          </cell>
          <cell r="G69">
            <v>420</v>
          </cell>
          <cell r="H69">
            <v>283</v>
          </cell>
          <cell r="I69">
            <v>351</v>
          </cell>
          <cell r="J69">
            <v>4270</v>
          </cell>
        </row>
        <row r="70">
          <cell r="A70">
            <v>95</v>
          </cell>
          <cell r="B70" t="str">
            <v>Bạc Liêu</v>
          </cell>
          <cell r="C70">
            <v>127</v>
          </cell>
          <cell r="D70">
            <v>62</v>
          </cell>
          <cell r="E70">
            <v>596</v>
          </cell>
          <cell r="F70">
            <v>245</v>
          </cell>
          <cell r="G70">
            <v>97</v>
          </cell>
          <cell r="H70">
            <v>48</v>
          </cell>
          <cell r="I70">
            <v>70</v>
          </cell>
          <cell r="J70">
            <v>248</v>
          </cell>
        </row>
        <row r="71">
          <cell r="A71">
            <v>96</v>
          </cell>
          <cell r="B71" t="str">
            <v>Cà Mau</v>
          </cell>
          <cell r="C71">
            <v>469</v>
          </cell>
          <cell r="D71">
            <v>356</v>
          </cell>
          <cell r="E71">
            <v>772</v>
          </cell>
          <cell r="F71">
            <v>2026</v>
          </cell>
          <cell r="G71">
            <v>871</v>
          </cell>
          <cell r="H71">
            <v>849</v>
          </cell>
          <cell r="I71">
            <v>3011</v>
          </cell>
          <cell r="J71">
            <v>1163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7.16</v>
          </cell>
          <cell r="D9">
            <v>7.39</v>
          </cell>
          <cell r="E9">
            <v>7.32</v>
          </cell>
          <cell r="F9">
            <v>7.75</v>
          </cell>
          <cell r="G9">
            <v>4.1100000000000003</v>
          </cell>
          <cell r="H9">
            <v>2.94</v>
          </cell>
          <cell r="I9">
            <v>8.9600000000000009</v>
          </cell>
          <cell r="J9">
            <v>6.52</v>
          </cell>
        </row>
        <row r="10">
          <cell r="A10" t="str">
            <v>02</v>
          </cell>
          <cell r="B10" t="str">
            <v>Hà Giang</v>
          </cell>
          <cell r="C10">
            <v>6.52</v>
          </cell>
          <cell r="D10">
            <v>7.72</v>
          </cell>
          <cell r="E10">
            <v>6.13</v>
          </cell>
          <cell r="F10">
            <v>6.58</v>
          </cell>
          <cell r="G10">
            <v>2.73</v>
          </cell>
          <cell r="H10">
            <v>5.1100000000000003</v>
          </cell>
          <cell r="I10">
            <v>7.55</v>
          </cell>
          <cell r="J10">
            <v>2.85</v>
          </cell>
        </row>
        <row r="11">
          <cell r="A11" t="str">
            <v>04</v>
          </cell>
          <cell r="B11" t="str">
            <v>Cao Bằng</v>
          </cell>
          <cell r="C11">
            <v>4.38</v>
          </cell>
          <cell r="D11">
            <v>7.09</v>
          </cell>
          <cell r="E11">
            <v>7.01</v>
          </cell>
          <cell r="F11">
            <v>4.17</v>
          </cell>
          <cell r="G11">
            <v>6.02</v>
          </cell>
          <cell r="H11">
            <v>-0.62</v>
          </cell>
          <cell r="I11">
            <v>4.46</v>
          </cell>
          <cell r="J11">
            <v>3.73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7.47</v>
          </cell>
        </row>
        <row r="14">
          <cell r="A14">
            <v>10</v>
          </cell>
          <cell r="B14" t="str">
            <v>Lào Cai</v>
          </cell>
          <cell r="C14">
            <v>9.4499999999999993</v>
          </cell>
          <cell r="D14">
            <v>10.039999999999999</v>
          </cell>
          <cell r="E14">
            <v>9.06</v>
          </cell>
          <cell r="F14">
            <v>8.33</v>
          </cell>
          <cell r="G14">
            <v>3.34</v>
          </cell>
          <cell r="H14">
            <v>4.03</v>
          </cell>
          <cell r="I14">
            <v>8.0500000000000007</v>
          </cell>
          <cell r="J14">
            <v>5.18</v>
          </cell>
        </row>
        <row r="15">
          <cell r="A15">
            <v>11</v>
          </cell>
          <cell r="B15" t="str">
            <v>Điện Biên</v>
          </cell>
          <cell r="C15">
            <v>6.28</v>
          </cell>
          <cell r="D15">
            <v>6.87</v>
          </cell>
          <cell r="E15">
            <v>5.54</v>
          </cell>
          <cell r="F15">
            <v>4</v>
          </cell>
          <cell r="G15">
            <v>2.4900000000000002</v>
          </cell>
          <cell r="H15">
            <v>6.65</v>
          </cell>
          <cell r="I15">
            <v>10.050000000000001</v>
          </cell>
          <cell r="J15">
            <v>8.64</v>
          </cell>
        </row>
        <row r="16">
          <cell r="A16">
            <v>12</v>
          </cell>
          <cell r="B16" t="str">
            <v>Lai Châu</v>
          </cell>
          <cell r="C16">
            <v>32.99</v>
          </cell>
          <cell r="D16">
            <v>14.57</v>
          </cell>
          <cell r="E16">
            <v>6.7</v>
          </cell>
          <cell r="F16">
            <v>-0.95</v>
          </cell>
          <cell r="G16">
            <v>8.19</v>
          </cell>
          <cell r="H16">
            <v>4.2</v>
          </cell>
          <cell r="I16">
            <v>8.24</v>
          </cell>
          <cell r="J16">
            <v>-3.42</v>
          </cell>
        </row>
        <row r="17">
          <cell r="A17">
            <v>14</v>
          </cell>
          <cell r="B17" t="str">
            <v>Sơn La</v>
          </cell>
          <cell r="C17">
            <v>7.16</v>
          </cell>
          <cell r="D17">
            <v>9.33</v>
          </cell>
          <cell r="E17">
            <v>5.83</v>
          </cell>
          <cell r="F17">
            <v>-2.58</v>
          </cell>
          <cell r="G17">
            <v>7.21</v>
          </cell>
          <cell r="H17">
            <v>2.72</v>
          </cell>
          <cell r="I17">
            <v>7.85</v>
          </cell>
          <cell r="J17">
            <v>0.95</v>
          </cell>
        </row>
        <row r="18">
          <cell r="A18">
            <v>15</v>
          </cell>
          <cell r="B18" t="str">
            <v>Yên Bái</v>
          </cell>
          <cell r="C18">
            <v>6.19</v>
          </cell>
          <cell r="D18">
            <v>6.36</v>
          </cell>
          <cell r="E18">
            <v>6.34</v>
          </cell>
          <cell r="F18">
            <v>7.24</v>
          </cell>
          <cell r="G18">
            <v>5.23</v>
          </cell>
          <cell r="H18">
            <v>7.31</v>
          </cell>
          <cell r="I18">
            <v>8.8800000000000008</v>
          </cell>
          <cell r="J18">
            <v>6.08</v>
          </cell>
        </row>
        <row r="19">
          <cell r="A19">
            <v>17</v>
          </cell>
          <cell r="B19" t="str">
            <v>Hoà Bình</v>
          </cell>
          <cell r="C19">
            <v>9.39</v>
          </cell>
          <cell r="D19">
            <v>9.0399999999999991</v>
          </cell>
          <cell r="E19">
            <v>8.56</v>
          </cell>
          <cell r="F19">
            <v>1</v>
          </cell>
          <cell r="G19">
            <v>2.76</v>
          </cell>
          <cell r="H19">
            <v>3.6</v>
          </cell>
          <cell r="I19">
            <v>9.98</v>
          </cell>
          <cell r="J19">
            <v>0.81</v>
          </cell>
        </row>
        <row r="20">
          <cell r="A20">
            <v>19</v>
          </cell>
          <cell r="B20" t="str">
            <v>Thái Nguyên</v>
          </cell>
          <cell r="C20">
            <v>13.36</v>
          </cell>
          <cell r="D20">
            <v>12.81</v>
          </cell>
          <cell r="E20">
            <v>9.75</v>
          </cell>
          <cell r="F20">
            <v>7.19</v>
          </cell>
          <cell r="G20">
            <v>3.32</v>
          </cell>
          <cell r="H20">
            <v>6.23</v>
          </cell>
          <cell r="I20">
            <v>5.36</v>
          </cell>
          <cell r="J20">
            <v>5.36</v>
          </cell>
        </row>
        <row r="21">
          <cell r="A21">
            <v>20</v>
          </cell>
          <cell r="B21" t="str">
            <v>Lạng Sơn</v>
          </cell>
          <cell r="C21">
            <v>1.93</v>
          </cell>
          <cell r="D21">
            <v>5.97</v>
          </cell>
          <cell r="E21">
            <v>7.75</v>
          </cell>
          <cell r="F21">
            <v>6.57</v>
          </cell>
          <cell r="G21">
            <v>3.9</v>
          </cell>
          <cell r="H21">
            <v>6.75</v>
          </cell>
          <cell r="I21">
            <v>6.63</v>
          </cell>
          <cell r="J21">
            <v>7.7</v>
          </cell>
        </row>
        <row r="22">
          <cell r="A22">
            <v>22</v>
          </cell>
          <cell r="B22" t="str">
            <v>Quảng Ninh</v>
          </cell>
          <cell r="C22">
            <v>10.17</v>
          </cell>
          <cell r="D22">
            <v>10.130000000000001</v>
          </cell>
          <cell r="E22">
            <v>10.77</v>
          </cell>
          <cell r="F22">
            <v>12.05</v>
          </cell>
          <cell r="G22">
            <v>8.0399999999999991</v>
          </cell>
          <cell r="H22">
            <v>9.5</v>
          </cell>
          <cell r="I22">
            <v>9.52</v>
          </cell>
          <cell r="J22">
            <v>10.69</v>
          </cell>
        </row>
        <row r="23">
          <cell r="A23">
            <v>24</v>
          </cell>
          <cell r="B23" t="str">
            <v>Bắc Giang</v>
          </cell>
          <cell r="C23">
            <v>10.78</v>
          </cell>
          <cell r="D23">
            <v>13.24</v>
          </cell>
          <cell r="E23">
            <v>16.18</v>
          </cell>
          <cell r="F23">
            <v>16.13</v>
          </cell>
          <cell r="G23">
            <v>13.52</v>
          </cell>
          <cell r="H23">
            <v>8.52</v>
          </cell>
          <cell r="I23">
            <v>19.3</v>
          </cell>
          <cell r="J23">
            <v>14.99</v>
          </cell>
        </row>
        <row r="24">
          <cell r="A24">
            <v>25</v>
          </cell>
          <cell r="B24" t="str">
            <v>Phú Thọ</v>
          </cell>
          <cell r="C24">
            <v>8.36</v>
          </cell>
          <cell r="D24">
            <v>7.49</v>
          </cell>
          <cell r="E24">
            <v>9.1300000000000008</v>
          </cell>
          <cell r="F24">
            <v>9.4</v>
          </cell>
          <cell r="G24">
            <v>3.75</v>
          </cell>
          <cell r="H24">
            <v>6.94</v>
          </cell>
          <cell r="I24">
            <v>8.34</v>
          </cell>
          <cell r="J24">
            <v>7.92</v>
          </cell>
        </row>
        <row r="25">
          <cell r="A25">
            <v>26</v>
          </cell>
          <cell r="B25" t="str">
            <v>Vĩnh Phúc</v>
          </cell>
          <cell r="C25">
            <v>8.4600000000000009</v>
          </cell>
          <cell r="D25">
            <v>7.47</v>
          </cell>
          <cell r="E25">
            <v>8.16</v>
          </cell>
          <cell r="F25">
            <v>8.1999999999999993</v>
          </cell>
          <cell r="G25">
            <v>2.84</v>
          </cell>
          <cell r="H25">
            <v>8.01</v>
          </cell>
          <cell r="I25">
            <v>9.7200000000000006</v>
          </cell>
          <cell r="J25">
            <v>2.06</v>
          </cell>
        </row>
        <row r="26">
          <cell r="A26">
            <v>27</v>
          </cell>
          <cell r="B26" t="str">
            <v>Bắc Ninh</v>
          </cell>
          <cell r="C26">
            <v>6.15</v>
          </cell>
          <cell r="D26">
            <v>19.13</v>
          </cell>
          <cell r="E26">
            <v>11.28</v>
          </cell>
          <cell r="F26">
            <v>1.23</v>
          </cell>
          <cell r="G26">
            <v>3.42</v>
          </cell>
          <cell r="H26">
            <v>7.68</v>
          </cell>
          <cell r="I26">
            <v>5.73</v>
          </cell>
          <cell r="J26">
            <v>-9.27</v>
          </cell>
        </row>
        <row r="27">
          <cell r="A27">
            <v>30</v>
          </cell>
          <cell r="B27" t="str">
            <v>Hải Dương</v>
          </cell>
          <cell r="C27">
            <v>9.98</v>
          </cell>
          <cell r="D27">
            <v>8.65</v>
          </cell>
          <cell r="E27">
            <v>9.92</v>
          </cell>
          <cell r="F27">
            <v>7.39</v>
          </cell>
          <cell r="G27">
            <v>2.76</v>
          </cell>
          <cell r="H27">
            <v>8.5399999999999991</v>
          </cell>
          <cell r="I27">
            <v>9.36</v>
          </cell>
          <cell r="J27">
            <v>8.9499999999999993</v>
          </cell>
        </row>
        <row r="28">
          <cell r="A28">
            <v>31</v>
          </cell>
          <cell r="B28" t="str">
            <v>Hải Phòng</v>
          </cell>
          <cell r="C28">
            <v>11.21</v>
          </cell>
          <cell r="D28">
            <v>13.93</v>
          </cell>
          <cell r="E28">
            <v>16.2</v>
          </cell>
          <cell r="F28">
            <v>17.02</v>
          </cell>
          <cell r="G28">
            <v>10.61</v>
          </cell>
          <cell r="H28">
            <v>12.86</v>
          </cell>
          <cell r="I28">
            <v>10.38</v>
          </cell>
          <cell r="J28">
            <v>10.210000000000001</v>
          </cell>
        </row>
        <row r="29">
          <cell r="A29">
            <v>33</v>
          </cell>
          <cell r="B29" t="str">
            <v>Hưng Yên</v>
          </cell>
          <cell r="C29">
            <v>7.94</v>
          </cell>
          <cell r="D29">
            <v>8.65</v>
          </cell>
          <cell r="E29">
            <v>9.33</v>
          </cell>
          <cell r="F29">
            <v>9.2100000000000009</v>
          </cell>
          <cell r="G29">
            <v>5.97</v>
          </cell>
          <cell r="H29">
            <v>8.41</v>
          </cell>
          <cell r="I29">
            <v>13.88</v>
          </cell>
          <cell r="J29">
            <v>10.61</v>
          </cell>
        </row>
        <row r="30">
          <cell r="A30">
            <v>34</v>
          </cell>
          <cell r="B30" t="str">
            <v>Thái Bình</v>
          </cell>
          <cell r="C30">
            <v>9.1199999999999992</v>
          </cell>
          <cell r="D30">
            <v>10.72</v>
          </cell>
          <cell r="E30">
            <v>10.6</v>
          </cell>
          <cell r="F30">
            <v>9.8000000000000007</v>
          </cell>
          <cell r="G30">
            <v>1.79</v>
          </cell>
          <cell r="H30">
            <v>7.57</v>
          </cell>
          <cell r="I30">
            <v>9.27</v>
          </cell>
          <cell r="J30">
            <v>7.48</v>
          </cell>
        </row>
        <row r="31">
          <cell r="A31">
            <v>35</v>
          </cell>
          <cell r="B31" t="str">
            <v>Hà Nam</v>
          </cell>
          <cell r="C31">
            <v>12.61</v>
          </cell>
          <cell r="D31">
            <v>10.81</v>
          </cell>
          <cell r="E31">
            <v>11.89</v>
          </cell>
          <cell r="F31">
            <v>11.75</v>
          </cell>
          <cell r="G31">
            <v>7.14</v>
          </cell>
          <cell r="H31">
            <v>8.7899999999999991</v>
          </cell>
          <cell r="I31">
            <v>10.96</v>
          </cell>
          <cell r="J31">
            <v>10.199999999999999</v>
          </cell>
        </row>
        <row r="32">
          <cell r="A32">
            <v>36</v>
          </cell>
          <cell r="B32" t="str">
            <v>Nam Định</v>
          </cell>
          <cell r="C32">
            <v>6.79</v>
          </cell>
          <cell r="D32">
            <v>6.27</v>
          </cell>
          <cell r="E32">
            <v>8.56</v>
          </cell>
          <cell r="F32">
            <v>7.61</v>
          </cell>
          <cell r="G32">
            <v>4.54</v>
          </cell>
          <cell r="H32">
            <v>6.66</v>
          </cell>
          <cell r="I32">
            <v>6.43</v>
          </cell>
          <cell r="J32">
            <v>8.14</v>
          </cell>
        </row>
        <row r="33">
          <cell r="A33">
            <v>37</v>
          </cell>
          <cell r="B33" t="str">
            <v>Ninh Bình</v>
          </cell>
          <cell r="C33">
            <v>5.87</v>
          </cell>
          <cell r="D33">
            <v>8.2200000000000006</v>
          </cell>
          <cell r="E33">
            <v>9.69</v>
          </cell>
          <cell r="F33">
            <v>14.39</v>
          </cell>
          <cell r="G33">
            <v>7.39</v>
          </cell>
          <cell r="H33">
            <v>4.17</v>
          </cell>
          <cell r="I33">
            <v>8.57</v>
          </cell>
          <cell r="J33">
            <v>7.01</v>
          </cell>
        </row>
        <row r="34">
          <cell r="A34">
            <v>38</v>
          </cell>
          <cell r="B34" t="str">
            <v>Thanh Hoá</v>
          </cell>
          <cell r="C34">
            <v>9.25</v>
          </cell>
          <cell r="D34">
            <v>8.8800000000000008</v>
          </cell>
          <cell r="E34">
            <v>16.579999999999998</v>
          </cell>
          <cell r="F34">
            <v>16.43</v>
          </cell>
          <cell r="G34">
            <v>5.0599999999999996</v>
          </cell>
          <cell r="H34">
            <v>9.67</v>
          </cell>
          <cell r="I34">
            <v>11.53</v>
          </cell>
          <cell r="J34">
            <v>6.93</v>
          </cell>
        </row>
        <row r="35">
          <cell r="A35">
            <v>40</v>
          </cell>
          <cell r="B35" t="str">
            <v>Nghệ An</v>
          </cell>
          <cell r="C35">
            <v>6.95</v>
          </cell>
          <cell r="D35">
            <v>7.88</v>
          </cell>
          <cell r="E35">
            <v>8.73</v>
          </cell>
          <cell r="F35">
            <v>6.87</v>
          </cell>
          <cell r="G35">
            <v>4.4400000000000004</v>
          </cell>
          <cell r="H35">
            <v>6.31</v>
          </cell>
          <cell r="I35">
            <v>9.36</v>
          </cell>
          <cell r="J35">
            <v>6.9</v>
          </cell>
        </row>
        <row r="36">
          <cell r="A36">
            <v>42</v>
          </cell>
          <cell r="B36" t="str">
            <v>Hà Tĩnh</v>
          </cell>
          <cell r="C36">
            <v>-14.58</v>
          </cell>
          <cell r="D36">
            <v>9.9</v>
          </cell>
          <cell r="E36">
            <v>20.85</v>
          </cell>
          <cell r="F36">
            <v>9.27</v>
          </cell>
          <cell r="G36">
            <v>2.85</v>
          </cell>
          <cell r="H36">
            <v>6.11</v>
          </cell>
          <cell r="I36">
            <v>1.33</v>
          </cell>
          <cell r="J36">
            <v>8.17</v>
          </cell>
        </row>
        <row r="37">
          <cell r="A37">
            <v>44</v>
          </cell>
          <cell r="B37" t="str">
            <v>Quảng Bình</v>
          </cell>
          <cell r="C37">
            <v>5.57</v>
          </cell>
          <cell r="D37">
            <v>7.03</v>
          </cell>
          <cell r="E37">
            <v>7.34</v>
          </cell>
          <cell r="F37">
            <v>7.07</v>
          </cell>
          <cell r="G37">
            <v>3.16</v>
          </cell>
          <cell r="H37">
            <v>4.2699999999999996</v>
          </cell>
          <cell r="I37">
            <v>7.39</v>
          </cell>
          <cell r="J37">
            <v>7.02</v>
          </cell>
        </row>
        <row r="38">
          <cell r="A38">
            <v>45</v>
          </cell>
          <cell r="B38" t="str">
            <v>Quảng Trị</v>
          </cell>
          <cell r="C38">
            <v>6.39</v>
          </cell>
          <cell r="D38">
            <v>7.06</v>
          </cell>
          <cell r="E38">
            <v>7.25</v>
          </cell>
          <cell r="F38">
            <v>7.64</v>
          </cell>
          <cell r="G38">
            <v>3.73</v>
          </cell>
          <cell r="H38">
            <v>6.57</v>
          </cell>
          <cell r="I38">
            <v>7.15</v>
          </cell>
          <cell r="J38">
            <v>6.76</v>
          </cell>
        </row>
        <row r="39">
          <cell r="A39">
            <v>46</v>
          </cell>
          <cell r="B39" t="str">
            <v>Thừa Thiên Huế</v>
          </cell>
          <cell r="C39">
            <v>6.93</v>
          </cell>
          <cell r="D39">
            <v>7.92</v>
          </cell>
          <cell r="E39">
            <v>6.72</v>
          </cell>
          <cell r="F39">
            <v>7.25</v>
          </cell>
          <cell r="G39">
            <v>2.04</v>
          </cell>
          <cell r="H39">
            <v>4.24</v>
          </cell>
          <cell r="I39">
            <v>8.4</v>
          </cell>
          <cell r="J39">
            <v>7.02</v>
          </cell>
        </row>
        <row r="40">
          <cell r="A40">
            <v>48</v>
          </cell>
          <cell r="B40" t="str">
            <v>Đà Nẵng</v>
          </cell>
          <cell r="C40">
            <v>8.56</v>
          </cell>
          <cell r="D40">
            <v>7.06</v>
          </cell>
          <cell r="E40">
            <v>8.17</v>
          </cell>
          <cell r="F40">
            <v>7.04</v>
          </cell>
          <cell r="G40">
            <v>-7.8</v>
          </cell>
          <cell r="H40">
            <v>1.4</v>
          </cell>
          <cell r="I40">
            <v>13.65</v>
          </cell>
          <cell r="J40">
            <v>2.0099999999999998</v>
          </cell>
        </row>
        <row r="41">
          <cell r="A41">
            <v>49</v>
          </cell>
          <cell r="B41" t="str">
            <v>Quảng Nam</v>
          </cell>
          <cell r="C41">
            <v>18.579999999999998</v>
          </cell>
          <cell r="D41">
            <v>5.24</v>
          </cell>
          <cell r="E41">
            <v>7.99</v>
          </cell>
          <cell r="F41">
            <v>4.26</v>
          </cell>
          <cell r="G41">
            <v>-0.98</v>
          </cell>
          <cell r="H41">
            <v>5</v>
          </cell>
          <cell r="I41">
            <v>10.45</v>
          </cell>
          <cell r="J41">
            <v>-8.3699999999999992</v>
          </cell>
        </row>
        <row r="42">
          <cell r="A42">
            <v>51</v>
          </cell>
          <cell r="B42" t="str">
            <v>Quảng Ngãi</v>
          </cell>
          <cell r="C42">
            <v>0.75</v>
          </cell>
          <cell r="D42">
            <v>1.39</v>
          </cell>
          <cell r="E42">
            <v>8.31</v>
          </cell>
          <cell r="F42">
            <v>4.25</v>
          </cell>
          <cell r="G42">
            <v>-0.6</v>
          </cell>
          <cell r="H42">
            <v>6.95</v>
          </cell>
          <cell r="I42">
            <v>8.93</v>
          </cell>
          <cell r="J42">
            <v>5.67</v>
          </cell>
        </row>
        <row r="43">
          <cell r="A43">
            <v>52</v>
          </cell>
          <cell r="B43" t="str">
            <v>Bình Định</v>
          </cell>
          <cell r="C43">
            <v>6.63</v>
          </cell>
          <cell r="D43">
            <v>6.72</v>
          </cell>
          <cell r="E43">
            <v>7.31</v>
          </cell>
          <cell r="F43">
            <v>6.83</v>
          </cell>
          <cell r="G43">
            <v>3.55</v>
          </cell>
          <cell r="H43">
            <v>3.97</v>
          </cell>
          <cell r="I43">
            <v>8</v>
          </cell>
          <cell r="J43">
            <v>6.8</v>
          </cell>
        </row>
        <row r="44">
          <cell r="A44">
            <v>54</v>
          </cell>
          <cell r="B44" t="str">
            <v>Phú Yên</v>
          </cell>
          <cell r="C44">
            <v>7.54</v>
          </cell>
          <cell r="D44">
            <v>7.04</v>
          </cell>
          <cell r="E44">
            <v>7.75</v>
          </cell>
          <cell r="F44">
            <v>7.64</v>
          </cell>
          <cell r="G44">
            <v>3.09</v>
          </cell>
          <cell r="H44">
            <v>-0.14000000000000001</v>
          </cell>
          <cell r="I44">
            <v>7.31</v>
          </cell>
          <cell r="J44">
            <v>9.43</v>
          </cell>
        </row>
        <row r="45">
          <cell r="A45">
            <v>56</v>
          </cell>
          <cell r="B45" t="str">
            <v>Khánh Hoà</v>
          </cell>
          <cell r="C45">
            <v>7.97</v>
          </cell>
          <cell r="D45">
            <v>7.91</v>
          </cell>
          <cell r="E45">
            <v>7.53</v>
          </cell>
          <cell r="F45">
            <v>8.4600000000000009</v>
          </cell>
          <cell r="G45">
            <v>-10.15</v>
          </cell>
          <cell r="H45">
            <v>-5.32</v>
          </cell>
          <cell r="I45">
            <v>18.89</v>
          </cell>
          <cell r="J45">
            <v>10.17</v>
          </cell>
        </row>
        <row r="46">
          <cell r="A46">
            <v>58</v>
          </cell>
          <cell r="B46" t="str">
            <v>Ninh Thuận</v>
          </cell>
          <cell r="C46">
            <v>6.29</v>
          </cell>
          <cell r="D46">
            <v>9.9600000000000009</v>
          </cell>
          <cell r="E46">
            <v>7.41</v>
          </cell>
          <cell r="F46">
            <v>14.69</v>
          </cell>
          <cell r="G46">
            <v>10.38</v>
          </cell>
          <cell r="H46">
            <v>9.1300000000000008</v>
          </cell>
          <cell r="I46">
            <v>8.23</v>
          </cell>
          <cell r="J46">
            <v>9.2799999999999994</v>
          </cell>
        </row>
        <row r="47">
          <cell r="A47">
            <v>60</v>
          </cell>
          <cell r="B47" t="str">
            <v>Bình Thuận</v>
          </cell>
          <cell r="C47">
            <v>7.71</v>
          </cell>
          <cell r="D47">
            <v>7.07</v>
          </cell>
          <cell r="E47">
            <v>8.5399999999999991</v>
          </cell>
          <cell r="F47">
            <v>10.31</v>
          </cell>
          <cell r="G47">
            <v>4.7</v>
          </cell>
          <cell r="H47">
            <v>2.58</v>
          </cell>
          <cell r="I47">
            <v>5.72</v>
          </cell>
          <cell r="J47">
            <v>7.54</v>
          </cell>
        </row>
        <row r="48">
          <cell r="A48">
            <v>62</v>
          </cell>
          <cell r="B48" t="str">
            <v>Kon Tum</v>
          </cell>
          <cell r="C48">
            <v>6.86</v>
          </cell>
          <cell r="D48">
            <v>7.86</v>
          </cell>
          <cell r="E48">
            <v>8.3000000000000007</v>
          </cell>
          <cell r="F48">
            <v>7.62</v>
          </cell>
          <cell r="G48">
            <v>6.81</v>
          </cell>
          <cell r="H48">
            <v>6.55</v>
          </cell>
          <cell r="I48">
            <v>9</v>
          </cell>
          <cell r="J48">
            <v>7.17</v>
          </cell>
        </row>
        <row r="49">
          <cell r="A49">
            <v>64</v>
          </cell>
          <cell r="B49" t="str">
            <v>Gia Lai</v>
          </cell>
          <cell r="C49">
            <v>4.87</v>
          </cell>
          <cell r="D49">
            <v>8.61</v>
          </cell>
          <cell r="E49">
            <v>7.21</v>
          </cell>
          <cell r="F49">
            <v>4.41</v>
          </cell>
          <cell r="G49">
            <v>4.08</v>
          </cell>
          <cell r="H49">
            <v>9.81</v>
          </cell>
          <cell r="I49">
            <v>6.53</v>
          </cell>
          <cell r="J49">
            <v>4.2699999999999996</v>
          </cell>
        </row>
        <row r="50">
          <cell r="A50">
            <v>66</v>
          </cell>
          <cell r="B50" t="str">
            <v>Đắk Lắk</v>
          </cell>
          <cell r="C50">
            <v>6.06</v>
          </cell>
          <cell r="D50">
            <v>7.12</v>
          </cell>
          <cell r="E50">
            <v>6.47</v>
          </cell>
          <cell r="F50">
            <v>5.35</v>
          </cell>
          <cell r="G50">
            <v>6.11</v>
          </cell>
          <cell r="H50">
            <v>5.79</v>
          </cell>
          <cell r="I50">
            <v>8.3000000000000007</v>
          </cell>
          <cell r="J50">
            <v>4.43</v>
          </cell>
        </row>
        <row r="51">
          <cell r="A51">
            <v>67</v>
          </cell>
          <cell r="B51" t="str">
            <v>Đắk Nông</v>
          </cell>
          <cell r="C51">
            <v>4.51</v>
          </cell>
          <cell r="D51">
            <v>7.9</v>
          </cell>
          <cell r="E51">
            <v>6.45</v>
          </cell>
          <cell r="F51">
            <v>6.06</v>
          </cell>
          <cell r="G51">
            <v>5.09</v>
          </cell>
          <cell r="H51">
            <v>8.9600000000000009</v>
          </cell>
          <cell r="I51">
            <v>6.84</v>
          </cell>
          <cell r="J51">
            <v>5.54</v>
          </cell>
        </row>
        <row r="52">
          <cell r="A52">
            <v>68</v>
          </cell>
          <cell r="B52" t="str">
            <v>Lâm Đồng</v>
          </cell>
          <cell r="C52">
            <v>6.2</v>
          </cell>
          <cell r="D52">
            <v>7.47</v>
          </cell>
          <cell r="E52">
            <v>7.69</v>
          </cell>
          <cell r="F52">
            <v>6.2</v>
          </cell>
          <cell r="G52">
            <v>2.64</v>
          </cell>
          <cell r="H52">
            <v>3.9</v>
          </cell>
          <cell r="I52">
            <v>10.39</v>
          </cell>
          <cell r="J52">
            <v>5.71</v>
          </cell>
        </row>
        <row r="53">
          <cell r="A53">
            <v>70</v>
          </cell>
          <cell r="B53" t="str">
            <v>Bình Phước</v>
          </cell>
          <cell r="C53">
            <v>5.04</v>
          </cell>
          <cell r="D53">
            <v>6.58</v>
          </cell>
          <cell r="E53">
            <v>8.27</v>
          </cell>
          <cell r="F53">
            <v>10.33</v>
          </cell>
          <cell r="G53">
            <v>4.9400000000000004</v>
          </cell>
          <cell r="H53">
            <v>9.0299999999999994</v>
          </cell>
          <cell r="I53">
            <v>11.35</v>
          </cell>
          <cell r="J53">
            <v>8.27</v>
          </cell>
        </row>
        <row r="54">
          <cell r="A54">
            <v>72</v>
          </cell>
          <cell r="B54" t="str">
            <v>Tây Ninh</v>
          </cell>
          <cell r="C54">
            <v>7.9</v>
          </cell>
          <cell r="D54">
            <v>7.71</v>
          </cell>
          <cell r="E54">
            <v>7.85</v>
          </cell>
          <cell r="F54">
            <v>9.32</v>
          </cell>
          <cell r="G54">
            <v>3.23</v>
          </cell>
          <cell r="H54">
            <v>0.74</v>
          </cell>
          <cell r="I54">
            <v>10.38</v>
          </cell>
          <cell r="J54">
            <v>5.62</v>
          </cell>
        </row>
        <row r="55">
          <cell r="A55">
            <v>74</v>
          </cell>
          <cell r="B55" t="str">
            <v>Bình Dương</v>
          </cell>
          <cell r="C55">
            <v>10.56</v>
          </cell>
          <cell r="D55">
            <v>9.27</v>
          </cell>
          <cell r="E55">
            <v>8.51</v>
          </cell>
          <cell r="F55">
            <v>10.65</v>
          </cell>
          <cell r="G55">
            <v>6.24</v>
          </cell>
          <cell r="H55">
            <v>2.78</v>
          </cell>
          <cell r="I55">
            <v>7.19</v>
          </cell>
          <cell r="J55">
            <v>5</v>
          </cell>
        </row>
        <row r="56">
          <cell r="A56">
            <v>75</v>
          </cell>
          <cell r="B56" t="str">
            <v>Đồng Nai</v>
          </cell>
          <cell r="C56">
            <v>7.41</v>
          </cell>
          <cell r="D56">
            <v>7.42</v>
          </cell>
          <cell r="E56">
            <v>8.7200000000000006</v>
          </cell>
          <cell r="F56">
            <v>7.49</v>
          </cell>
          <cell r="G56">
            <v>3.05</v>
          </cell>
          <cell r="H56">
            <v>1.37</v>
          </cell>
          <cell r="I56">
            <v>8.2899999999999991</v>
          </cell>
          <cell r="J56">
            <v>5.41</v>
          </cell>
        </row>
        <row r="57">
          <cell r="A57">
            <v>77</v>
          </cell>
          <cell r="B57" t="str">
            <v>Bà Rịa-Vũng Tàu(***)</v>
          </cell>
          <cell r="C57">
            <v>-3.21</v>
          </cell>
          <cell r="D57">
            <v>-3.76</v>
          </cell>
          <cell r="E57">
            <v>-0.27</v>
          </cell>
          <cell r="F57">
            <v>0.59</v>
          </cell>
          <cell r="G57">
            <v>-9.1300000000000008</v>
          </cell>
          <cell r="H57">
            <v>-5.68</v>
          </cell>
          <cell r="I57">
            <v>6.18</v>
          </cell>
          <cell r="J57">
            <v>-1.55</v>
          </cell>
        </row>
        <row r="58">
          <cell r="A58">
            <v>79</v>
          </cell>
          <cell r="B58" t="str">
            <v>TP Hồ Chí Minh</v>
          </cell>
          <cell r="C58">
            <v>7.31</v>
          </cell>
          <cell r="D58">
            <v>7.89</v>
          </cell>
          <cell r="E58">
            <v>7.86</v>
          </cell>
          <cell r="F58">
            <v>7.95</v>
          </cell>
          <cell r="G58">
            <v>1.1599999999999999</v>
          </cell>
          <cell r="H58">
            <v>-4.01</v>
          </cell>
          <cell r="I58">
            <v>9.25</v>
          </cell>
          <cell r="J58">
            <v>5.19</v>
          </cell>
        </row>
        <row r="59">
          <cell r="A59">
            <v>80</v>
          </cell>
          <cell r="B59" t="str">
            <v>Long An</v>
          </cell>
          <cell r="C59">
            <v>9.7200000000000006</v>
          </cell>
          <cell r="D59">
            <v>9.82</v>
          </cell>
          <cell r="E59">
            <v>10.59</v>
          </cell>
          <cell r="F59">
            <v>9.66</v>
          </cell>
          <cell r="G59">
            <v>4.12</v>
          </cell>
          <cell r="H59">
            <v>1.29</v>
          </cell>
          <cell r="I59">
            <v>9</v>
          </cell>
          <cell r="J59">
            <v>5.6</v>
          </cell>
        </row>
        <row r="60">
          <cell r="A60">
            <v>82</v>
          </cell>
          <cell r="B60" t="str">
            <v>Tiền Giang</v>
          </cell>
          <cell r="C60">
            <v>8.4499999999999993</v>
          </cell>
          <cell r="D60">
            <v>7.68</v>
          </cell>
          <cell r="E60">
            <v>7.07</v>
          </cell>
          <cell r="F60">
            <v>4.87</v>
          </cell>
          <cell r="G60">
            <v>0.3</v>
          </cell>
          <cell r="H60">
            <v>-1.06</v>
          </cell>
          <cell r="I60">
            <v>7.23</v>
          </cell>
          <cell r="J60">
            <v>5.7</v>
          </cell>
        </row>
        <row r="61">
          <cell r="A61">
            <v>83</v>
          </cell>
          <cell r="B61" t="str">
            <v>Bến Tre</v>
          </cell>
          <cell r="C61">
            <v>4.38</v>
          </cell>
          <cell r="D61">
            <v>6.89</v>
          </cell>
          <cell r="E61">
            <v>7.6</v>
          </cell>
          <cell r="F61">
            <v>6.48</v>
          </cell>
          <cell r="G61">
            <v>0.84</v>
          </cell>
          <cell r="H61">
            <v>2.64</v>
          </cell>
          <cell r="I61">
            <v>5.71</v>
          </cell>
          <cell r="J61">
            <v>4.5999999999999996</v>
          </cell>
        </row>
        <row r="62">
          <cell r="A62">
            <v>84</v>
          </cell>
          <cell r="B62" t="str">
            <v>Trà Vinh</v>
          </cell>
          <cell r="C62">
            <v>12.32</v>
          </cell>
          <cell r="D62">
            <v>12.04</v>
          </cell>
          <cell r="E62">
            <v>8.93</v>
          </cell>
          <cell r="F62">
            <v>11.19</v>
          </cell>
          <cell r="G62">
            <v>3</v>
          </cell>
          <cell r="H62">
            <v>-2.0699999999999998</v>
          </cell>
          <cell r="I62">
            <v>4.7300000000000004</v>
          </cell>
          <cell r="J62">
            <v>7.46</v>
          </cell>
        </row>
        <row r="63">
          <cell r="A63">
            <v>86</v>
          </cell>
          <cell r="B63" t="str">
            <v>Vĩnh Long</v>
          </cell>
          <cell r="C63">
            <v>4.5999999999999996</v>
          </cell>
          <cell r="D63">
            <v>5.6</v>
          </cell>
          <cell r="E63">
            <v>5.79</v>
          </cell>
          <cell r="F63">
            <v>6.74</v>
          </cell>
          <cell r="G63">
            <v>4.96</v>
          </cell>
          <cell r="H63">
            <v>0.01</v>
          </cell>
          <cell r="I63">
            <v>14.11</v>
          </cell>
          <cell r="J63">
            <v>2</v>
          </cell>
        </row>
        <row r="64">
          <cell r="A64">
            <v>87</v>
          </cell>
          <cell r="B64" t="str">
            <v>Đồng Tháp</v>
          </cell>
          <cell r="C64">
            <v>5.59</v>
          </cell>
          <cell r="D64">
            <v>6.03</v>
          </cell>
          <cell r="E64">
            <v>7.01</v>
          </cell>
          <cell r="F64">
            <v>6.29</v>
          </cell>
          <cell r="G64">
            <v>1.21</v>
          </cell>
          <cell r="H64">
            <v>-0.57999999999999996</v>
          </cell>
          <cell r="I64">
            <v>8.48</v>
          </cell>
          <cell r="J64">
            <v>5.61</v>
          </cell>
        </row>
        <row r="65">
          <cell r="A65">
            <v>89</v>
          </cell>
          <cell r="B65" t="str">
            <v>An Giang</v>
          </cell>
          <cell r="C65">
            <v>4.5</v>
          </cell>
          <cell r="D65">
            <v>4.38</v>
          </cell>
          <cell r="E65">
            <v>5.69</v>
          </cell>
          <cell r="F65">
            <v>6.84</v>
          </cell>
          <cell r="G65">
            <v>2.94</v>
          </cell>
          <cell r="H65">
            <v>0.24</v>
          </cell>
          <cell r="I65">
            <v>5.82</v>
          </cell>
          <cell r="J65">
            <v>6.14</v>
          </cell>
        </row>
        <row r="66">
          <cell r="A66">
            <v>91</v>
          </cell>
          <cell r="B66" t="str">
            <v>Kiên Giang</v>
          </cell>
          <cell r="C66">
            <v>6.26</v>
          </cell>
          <cell r="D66">
            <v>6.04</v>
          </cell>
          <cell r="E66">
            <v>8.89</v>
          </cell>
          <cell r="F66">
            <v>4.8899999999999997</v>
          </cell>
          <cell r="G66">
            <v>3.01</v>
          </cell>
          <cell r="H66">
            <v>0.34</v>
          </cell>
          <cell r="I66">
            <v>7.67</v>
          </cell>
          <cell r="J66">
            <v>5.84</v>
          </cell>
        </row>
        <row r="67">
          <cell r="A67">
            <v>92</v>
          </cell>
          <cell r="B67" t="str">
            <v>Cần Thơ</v>
          </cell>
          <cell r="C67">
            <v>7.82</v>
          </cell>
          <cell r="D67">
            <v>6.28</v>
          </cell>
          <cell r="E67">
            <v>8.15</v>
          </cell>
          <cell r="F67">
            <v>5.38</v>
          </cell>
          <cell r="G67">
            <v>-0.56000000000000005</v>
          </cell>
          <cell r="H67">
            <v>0.11</v>
          </cell>
          <cell r="I67">
            <v>13.32</v>
          </cell>
          <cell r="J67">
            <v>5.01</v>
          </cell>
        </row>
        <row r="68">
          <cell r="A68">
            <v>93</v>
          </cell>
          <cell r="B68" t="str">
            <v>Hậu Giang</v>
          </cell>
          <cell r="C68">
            <v>2.94</v>
          </cell>
          <cell r="D68">
            <v>5.46</v>
          </cell>
          <cell r="E68">
            <v>6.24</v>
          </cell>
          <cell r="F68">
            <v>7.37</v>
          </cell>
          <cell r="G68">
            <v>2.4700000000000002</v>
          </cell>
          <cell r="H68">
            <v>3.6</v>
          </cell>
          <cell r="I68">
            <v>14.63</v>
          </cell>
          <cell r="J68">
            <v>10.71</v>
          </cell>
        </row>
        <row r="69">
          <cell r="A69">
            <v>94</v>
          </cell>
          <cell r="B69" t="str">
            <v>Sóc Trăng</v>
          </cell>
          <cell r="C69">
            <v>4.2300000000000004</v>
          </cell>
          <cell r="D69">
            <v>4.4000000000000004</v>
          </cell>
          <cell r="E69">
            <v>6.47</v>
          </cell>
          <cell r="F69">
            <v>5.91</v>
          </cell>
          <cell r="G69">
            <v>1.25</v>
          </cell>
          <cell r="H69">
            <v>2.41</v>
          </cell>
          <cell r="I69">
            <v>8.1199999999999992</v>
          </cell>
          <cell r="J69">
            <v>5.4</v>
          </cell>
        </row>
        <row r="70">
          <cell r="A70">
            <v>95</v>
          </cell>
          <cell r="B70" t="str">
            <v>Bạc Liêu</v>
          </cell>
          <cell r="C70">
            <v>6.76</v>
          </cell>
          <cell r="D70">
            <v>6.29</v>
          </cell>
          <cell r="E70">
            <v>7.31</v>
          </cell>
          <cell r="F70">
            <v>4.91</v>
          </cell>
          <cell r="G70">
            <v>4.25</v>
          </cell>
          <cell r="H70">
            <v>5.31</v>
          </cell>
          <cell r="I70">
            <v>8.3800000000000008</v>
          </cell>
          <cell r="J70">
            <v>7.55</v>
          </cell>
        </row>
        <row r="71">
          <cell r="A71">
            <v>96</v>
          </cell>
          <cell r="B71" t="str">
            <v>Cà Mau</v>
          </cell>
          <cell r="C71">
            <v>1.93</v>
          </cell>
          <cell r="D71">
            <v>4.38</v>
          </cell>
          <cell r="E71">
            <v>3.19</v>
          </cell>
          <cell r="F71">
            <v>4.58</v>
          </cell>
          <cell r="G71">
            <v>1</v>
          </cell>
          <cell r="H71">
            <v>-2.54</v>
          </cell>
          <cell r="I71">
            <v>7.02</v>
          </cell>
          <cell r="J71">
            <v>7.95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7590766</v>
          </cell>
          <cell r="D9">
            <v>7742188</v>
          </cell>
          <cell r="E9">
            <v>7914485</v>
          </cell>
          <cell r="F9">
            <v>8093891</v>
          </cell>
          <cell r="G9">
            <v>8246540</v>
          </cell>
          <cell r="H9">
            <v>8330834</v>
          </cell>
          <cell r="I9">
            <v>8435652</v>
          </cell>
          <cell r="J9">
            <v>8587081</v>
          </cell>
        </row>
        <row r="10">
          <cell r="A10" t="str">
            <v>02</v>
          </cell>
          <cell r="B10" t="str">
            <v>Hà Giang</v>
          </cell>
          <cell r="C10">
            <v>820427</v>
          </cell>
          <cell r="D10">
            <v>833692</v>
          </cell>
          <cell r="E10">
            <v>846531</v>
          </cell>
          <cell r="F10">
            <v>858091</v>
          </cell>
          <cell r="G10">
            <v>870240</v>
          </cell>
          <cell r="H10">
            <v>887086</v>
          </cell>
          <cell r="I10">
            <v>892723</v>
          </cell>
          <cell r="J10">
            <v>899900</v>
          </cell>
        </row>
        <row r="11">
          <cell r="A11" t="str">
            <v>04</v>
          </cell>
          <cell r="B11" t="str">
            <v>Cao Bằng</v>
          </cell>
          <cell r="C11">
            <v>524235</v>
          </cell>
          <cell r="D11">
            <v>526418</v>
          </cell>
          <cell r="E11">
            <v>528656</v>
          </cell>
          <cell r="F11">
            <v>530856</v>
          </cell>
          <cell r="G11">
            <v>533085</v>
          </cell>
          <cell r="H11">
            <v>542217</v>
          </cell>
          <cell r="I11">
            <v>543052</v>
          </cell>
          <cell r="J11">
            <v>547857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812215</v>
          </cell>
        </row>
        <row r="14">
          <cell r="A14">
            <v>10</v>
          </cell>
          <cell r="B14" t="str">
            <v>Lào Cai</v>
          </cell>
          <cell r="C14">
            <v>696453</v>
          </cell>
          <cell r="D14">
            <v>708571</v>
          </cell>
          <cell r="E14">
            <v>720829</v>
          </cell>
          <cell r="F14">
            <v>733337</v>
          </cell>
          <cell r="G14">
            <v>746355</v>
          </cell>
          <cell r="H14">
            <v>761890</v>
          </cell>
          <cell r="I14">
            <v>770589</v>
          </cell>
          <cell r="J14">
            <v>779919</v>
          </cell>
        </row>
        <row r="15">
          <cell r="A15">
            <v>11</v>
          </cell>
          <cell r="B15" t="str">
            <v>Điện Biên</v>
          </cell>
          <cell r="C15">
            <v>568267</v>
          </cell>
          <cell r="D15">
            <v>579387</v>
          </cell>
          <cell r="E15">
            <v>590518</v>
          </cell>
          <cell r="F15">
            <v>601659</v>
          </cell>
          <cell r="G15">
            <v>613480</v>
          </cell>
          <cell r="H15">
            <v>625089</v>
          </cell>
          <cell r="I15">
            <v>635921</v>
          </cell>
          <cell r="J15">
            <v>646182</v>
          </cell>
        </row>
        <row r="16">
          <cell r="A16">
            <v>12</v>
          </cell>
          <cell r="B16" t="str">
            <v>Lai Châu</v>
          </cell>
          <cell r="C16">
            <v>436321</v>
          </cell>
          <cell r="D16">
            <v>444506</v>
          </cell>
          <cell r="E16">
            <v>453383</v>
          </cell>
          <cell r="F16">
            <v>462629</v>
          </cell>
          <cell r="G16">
            <v>469811</v>
          </cell>
          <cell r="H16">
            <v>478430</v>
          </cell>
          <cell r="I16">
            <v>482096</v>
          </cell>
          <cell r="J16">
            <v>489282</v>
          </cell>
        </row>
        <row r="17">
          <cell r="A17">
            <v>14</v>
          </cell>
          <cell r="B17" t="str">
            <v>Sơn La</v>
          </cell>
          <cell r="C17">
            <v>1194937</v>
          </cell>
          <cell r="D17">
            <v>1213400</v>
          </cell>
          <cell r="E17">
            <v>1233074</v>
          </cell>
          <cell r="F17">
            <v>1252700</v>
          </cell>
          <cell r="G17">
            <v>1270556</v>
          </cell>
          <cell r="H17">
            <v>1287718</v>
          </cell>
          <cell r="I17">
            <v>1300125</v>
          </cell>
          <cell r="J17">
            <v>1313339</v>
          </cell>
        </row>
        <row r="18">
          <cell r="A18">
            <v>15</v>
          </cell>
          <cell r="B18" t="str">
            <v>Yên Bái</v>
          </cell>
          <cell r="C18">
            <v>800321</v>
          </cell>
          <cell r="D18">
            <v>807287</v>
          </cell>
          <cell r="E18">
            <v>814579</v>
          </cell>
          <cell r="F18">
            <v>823034</v>
          </cell>
          <cell r="G18">
            <v>831586</v>
          </cell>
          <cell r="H18">
            <v>842671</v>
          </cell>
          <cell r="I18">
            <v>847245</v>
          </cell>
          <cell r="J18">
            <v>855529</v>
          </cell>
        </row>
        <row r="19">
          <cell r="A19">
            <v>17</v>
          </cell>
          <cell r="B19" t="str">
            <v>Hoà Bình</v>
          </cell>
          <cell r="C19">
            <v>836963</v>
          </cell>
          <cell r="D19">
            <v>845000</v>
          </cell>
          <cell r="E19">
            <v>850413</v>
          </cell>
          <cell r="F19">
            <v>855804</v>
          </cell>
          <cell r="G19">
            <v>861216</v>
          </cell>
          <cell r="H19">
            <v>871724</v>
          </cell>
          <cell r="I19">
            <v>875379</v>
          </cell>
          <cell r="J19">
            <v>880474</v>
          </cell>
        </row>
        <row r="20">
          <cell r="A20">
            <v>19</v>
          </cell>
          <cell r="B20" t="str">
            <v>Thái Nguyên</v>
          </cell>
          <cell r="C20">
            <v>1242824</v>
          </cell>
          <cell r="D20">
            <v>1256124</v>
          </cell>
          <cell r="E20">
            <v>1273558</v>
          </cell>
          <cell r="F20">
            <v>1290945</v>
          </cell>
          <cell r="G20">
            <v>1307871</v>
          </cell>
          <cell r="H20">
            <v>1323150</v>
          </cell>
          <cell r="I20">
            <v>1335987</v>
          </cell>
          <cell r="J20">
            <v>1350345</v>
          </cell>
        </row>
        <row r="21">
          <cell r="A21">
            <v>20</v>
          </cell>
          <cell r="B21" t="str">
            <v>Lạng Sơn</v>
          </cell>
          <cell r="C21">
            <v>763396</v>
          </cell>
          <cell r="D21">
            <v>768698</v>
          </cell>
          <cell r="E21">
            <v>775866</v>
          </cell>
          <cell r="F21">
            <v>782811</v>
          </cell>
          <cell r="G21">
            <v>788706</v>
          </cell>
          <cell r="H21">
            <v>796939</v>
          </cell>
          <cell r="I21">
            <v>802090</v>
          </cell>
          <cell r="J21">
            <v>807315</v>
          </cell>
        </row>
        <row r="22">
          <cell r="A22">
            <v>22</v>
          </cell>
          <cell r="B22" t="str">
            <v>Quảng Ninh</v>
          </cell>
          <cell r="C22">
            <v>1261240</v>
          </cell>
          <cell r="D22">
            <v>1285209</v>
          </cell>
          <cell r="E22">
            <v>1303912</v>
          </cell>
          <cell r="F22">
            <v>1324842</v>
          </cell>
          <cell r="G22">
            <v>1337605</v>
          </cell>
          <cell r="H22">
            <v>1350851</v>
          </cell>
          <cell r="I22">
            <v>1362876</v>
          </cell>
          <cell r="J22">
            <v>1381167</v>
          </cell>
        </row>
        <row r="23">
          <cell r="A23">
            <v>24</v>
          </cell>
          <cell r="B23" t="str">
            <v>Bắc Giang</v>
          </cell>
          <cell r="C23">
            <v>1696903</v>
          </cell>
          <cell r="D23">
            <v>1736787</v>
          </cell>
          <cell r="E23">
            <v>1777506</v>
          </cell>
          <cell r="F23">
            <v>1810421</v>
          </cell>
          <cell r="G23">
            <v>1841624</v>
          </cell>
          <cell r="H23">
            <v>1875238</v>
          </cell>
          <cell r="I23">
            <v>1890925</v>
          </cell>
          <cell r="J23">
            <v>1922740</v>
          </cell>
        </row>
        <row r="24">
          <cell r="A24">
            <v>25</v>
          </cell>
          <cell r="B24" t="str">
            <v>Phú Thọ</v>
          </cell>
          <cell r="C24">
            <v>1409008</v>
          </cell>
          <cell r="D24">
            <v>1430475</v>
          </cell>
          <cell r="E24">
            <v>1449585</v>
          </cell>
          <cell r="F24">
            <v>1466399</v>
          </cell>
          <cell r="G24">
            <v>1481884</v>
          </cell>
          <cell r="H24">
            <v>1507539</v>
          </cell>
          <cell r="I24">
            <v>1516921</v>
          </cell>
          <cell r="J24">
            <v>1530847</v>
          </cell>
        </row>
        <row r="25">
          <cell r="A25">
            <v>26</v>
          </cell>
          <cell r="B25" t="str">
            <v>Vĩnh Phúc</v>
          </cell>
          <cell r="C25">
            <v>1106141</v>
          </cell>
          <cell r="D25">
            <v>1123140</v>
          </cell>
          <cell r="E25">
            <v>1138370</v>
          </cell>
          <cell r="F25">
            <v>1154836</v>
          </cell>
          <cell r="G25">
            <v>1171232</v>
          </cell>
          <cell r="H25">
            <v>1191782</v>
          </cell>
          <cell r="I25">
            <v>1197617</v>
          </cell>
          <cell r="J25">
            <v>1211346</v>
          </cell>
        </row>
        <row r="26">
          <cell r="A26">
            <v>27</v>
          </cell>
          <cell r="B26" t="str">
            <v>Bắc Ninh</v>
          </cell>
          <cell r="C26">
            <v>1257844</v>
          </cell>
          <cell r="D26">
            <v>1297762</v>
          </cell>
          <cell r="E26">
            <v>1337345</v>
          </cell>
          <cell r="F26">
            <v>1378592</v>
          </cell>
          <cell r="G26">
            <v>1419126</v>
          </cell>
          <cell r="H26">
            <v>1462945</v>
          </cell>
          <cell r="I26">
            <v>1488250</v>
          </cell>
          <cell r="J26">
            <v>1517441</v>
          </cell>
        </row>
        <row r="27">
          <cell r="A27">
            <v>30</v>
          </cell>
          <cell r="B27" t="str">
            <v>Hải Dương</v>
          </cell>
          <cell r="C27">
            <v>1832812</v>
          </cell>
          <cell r="D27">
            <v>1850587</v>
          </cell>
          <cell r="E27">
            <v>1877682</v>
          </cell>
          <cell r="F27">
            <v>1896911</v>
          </cell>
          <cell r="G27">
            <v>1916774</v>
          </cell>
          <cell r="H27">
            <v>1936775</v>
          </cell>
          <cell r="I27">
            <v>1946820</v>
          </cell>
          <cell r="J27">
            <v>1956888</v>
          </cell>
        </row>
        <row r="28">
          <cell r="A28">
            <v>31</v>
          </cell>
          <cell r="B28" t="str">
            <v>Hải Phòng</v>
          </cell>
          <cell r="C28">
            <v>1985314</v>
          </cell>
          <cell r="D28">
            <v>2001399</v>
          </cell>
          <cell r="E28">
            <v>2016420</v>
          </cell>
          <cell r="F28">
            <v>2033300</v>
          </cell>
          <cell r="G28">
            <v>2053493</v>
          </cell>
          <cell r="H28">
            <v>2072388</v>
          </cell>
          <cell r="I28">
            <v>2088022</v>
          </cell>
          <cell r="J28">
            <v>2105026</v>
          </cell>
        </row>
        <row r="29">
          <cell r="A29">
            <v>33</v>
          </cell>
          <cell r="B29" t="str">
            <v>Hưng Yên</v>
          </cell>
          <cell r="C29">
            <v>1215503</v>
          </cell>
          <cell r="D29">
            <v>1228823</v>
          </cell>
          <cell r="E29">
            <v>1242395</v>
          </cell>
          <cell r="F29">
            <v>1255839</v>
          </cell>
          <cell r="G29">
            <v>1269090</v>
          </cell>
          <cell r="H29">
            <v>1284552</v>
          </cell>
          <cell r="I29">
            <v>1290852</v>
          </cell>
          <cell r="J29">
            <v>1301014</v>
          </cell>
        </row>
        <row r="30">
          <cell r="A30">
            <v>34</v>
          </cell>
          <cell r="B30" t="str">
            <v>Thái Bình</v>
          </cell>
          <cell r="C30">
            <v>1838110</v>
          </cell>
          <cell r="D30">
            <v>1846101</v>
          </cell>
          <cell r="E30">
            <v>1854128</v>
          </cell>
          <cell r="F30">
            <v>1862184</v>
          </cell>
          <cell r="G30">
            <v>1870240</v>
          </cell>
          <cell r="H30">
            <v>1875663</v>
          </cell>
          <cell r="I30">
            <v>1878538</v>
          </cell>
          <cell r="J30">
            <v>1882335</v>
          </cell>
        </row>
        <row r="31">
          <cell r="A31">
            <v>35</v>
          </cell>
          <cell r="B31" t="str">
            <v>Hà Nam</v>
          </cell>
          <cell r="C31">
            <v>832217</v>
          </cell>
          <cell r="D31">
            <v>839760</v>
          </cell>
          <cell r="E31">
            <v>847137</v>
          </cell>
          <cell r="F31">
            <v>854469</v>
          </cell>
          <cell r="G31">
            <v>861832</v>
          </cell>
          <cell r="H31">
            <v>875216</v>
          </cell>
          <cell r="I31">
            <v>878052</v>
          </cell>
          <cell r="J31">
            <v>885914</v>
          </cell>
        </row>
        <row r="32">
          <cell r="A32">
            <v>36</v>
          </cell>
          <cell r="B32" t="str">
            <v>Nam Định</v>
          </cell>
          <cell r="C32">
            <v>1792452</v>
          </cell>
          <cell r="D32">
            <v>1788225</v>
          </cell>
          <cell r="E32">
            <v>1784206</v>
          </cell>
          <cell r="F32">
            <v>1780865</v>
          </cell>
          <cell r="G32">
            <v>1780333</v>
          </cell>
          <cell r="H32">
            <v>1836268</v>
          </cell>
          <cell r="I32">
            <v>1876854</v>
          </cell>
          <cell r="J32">
            <v>1887099</v>
          </cell>
        </row>
        <row r="33">
          <cell r="A33">
            <v>37</v>
          </cell>
          <cell r="B33" t="str">
            <v>Ninh Bình</v>
          </cell>
          <cell r="C33">
            <v>956809</v>
          </cell>
          <cell r="D33">
            <v>965429</v>
          </cell>
          <cell r="E33">
            <v>974666</v>
          </cell>
          <cell r="F33">
            <v>984527</v>
          </cell>
          <cell r="G33">
            <v>993920</v>
          </cell>
          <cell r="H33">
            <v>1007570</v>
          </cell>
          <cell r="I33">
            <v>1010751</v>
          </cell>
          <cell r="J33">
            <v>1017103</v>
          </cell>
        </row>
        <row r="34">
          <cell r="A34">
            <v>38</v>
          </cell>
          <cell r="B34" t="str">
            <v>Thanh Hoá</v>
          </cell>
          <cell r="C34">
            <v>3570832</v>
          </cell>
          <cell r="D34">
            <v>3603699</v>
          </cell>
          <cell r="E34">
            <v>3631279</v>
          </cell>
          <cell r="F34">
            <v>3645796</v>
          </cell>
          <cell r="G34">
            <v>3664944</v>
          </cell>
          <cell r="H34">
            <v>3716428</v>
          </cell>
          <cell r="I34">
            <v>3722059</v>
          </cell>
          <cell r="J34">
            <v>3739480</v>
          </cell>
        </row>
        <row r="35">
          <cell r="A35">
            <v>40</v>
          </cell>
          <cell r="B35" t="str">
            <v>Nghệ An</v>
          </cell>
          <cell r="C35">
            <v>3203112</v>
          </cell>
          <cell r="D35">
            <v>3246691</v>
          </cell>
          <cell r="E35">
            <v>3291369</v>
          </cell>
          <cell r="F35">
            <v>3337207</v>
          </cell>
          <cell r="G35">
            <v>3365198</v>
          </cell>
          <cell r="H35">
            <v>3409812</v>
          </cell>
          <cell r="I35">
            <v>3419989</v>
          </cell>
          <cell r="J35">
            <v>3441971</v>
          </cell>
        </row>
        <row r="36">
          <cell r="A36">
            <v>42</v>
          </cell>
          <cell r="B36" t="str">
            <v>Hà Tĩnh</v>
          </cell>
          <cell r="C36">
            <v>1266723</v>
          </cell>
          <cell r="D36">
            <v>1274239</v>
          </cell>
          <cell r="E36">
            <v>1280513</v>
          </cell>
          <cell r="F36">
            <v>1290263</v>
          </cell>
          <cell r="G36">
            <v>1296622</v>
          </cell>
          <cell r="H36">
            <v>1314056</v>
          </cell>
          <cell r="I36">
            <v>1323745</v>
          </cell>
          <cell r="J36">
            <v>1323746</v>
          </cell>
        </row>
        <row r="37">
          <cell r="A37">
            <v>44</v>
          </cell>
          <cell r="B37" t="str">
            <v>Quảng Bình</v>
          </cell>
          <cell r="C37">
            <v>880639</v>
          </cell>
          <cell r="D37">
            <v>885725</v>
          </cell>
          <cell r="E37">
            <v>891138</v>
          </cell>
          <cell r="F37">
            <v>896601</v>
          </cell>
          <cell r="G37">
            <v>901984</v>
          </cell>
          <cell r="H37">
            <v>910655</v>
          </cell>
          <cell r="I37">
            <v>913862</v>
          </cell>
          <cell r="J37">
            <v>918665</v>
          </cell>
        </row>
        <row r="38">
          <cell r="A38">
            <v>45</v>
          </cell>
          <cell r="B38" t="str">
            <v>Quảng Trị</v>
          </cell>
          <cell r="C38">
            <v>621598</v>
          </cell>
          <cell r="D38">
            <v>625372</v>
          </cell>
          <cell r="E38">
            <v>629734</v>
          </cell>
          <cell r="F38">
            <v>633440</v>
          </cell>
          <cell r="G38">
            <v>637386</v>
          </cell>
          <cell r="H38">
            <v>647790</v>
          </cell>
          <cell r="I38">
            <v>650946</v>
          </cell>
          <cell r="J38">
            <v>654198</v>
          </cell>
        </row>
        <row r="39">
          <cell r="A39">
            <v>46</v>
          </cell>
          <cell r="B39" t="str">
            <v>Thừa Thiên Huế</v>
          </cell>
          <cell r="C39">
            <v>1117985</v>
          </cell>
          <cell r="D39">
            <v>1123357</v>
          </cell>
          <cell r="E39">
            <v>1125400</v>
          </cell>
          <cell r="F39">
            <v>1129505</v>
          </cell>
          <cell r="G39">
            <v>1133592</v>
          </cell>
          <cell r="H39">
            <v>1153795</v>
          </cell>
          <cell r="I39">
            <v>1160224</v>
          </cell>
          <cell r="J39">
            <v>1166547</v>
          </cell>
        </row>
        <row r="40">
          <cell r="A40">
            <v>48</v>
          </cell>
          <cell r="B40" t="str">
            <v>Đà Nẵng</v>
          </cell>
          <cell r="C40">
            <v>1080286</v>
          </cell>
          <cell r="D40">
            <v>1097775</v>
          </cell>
          <cell r="E40">
            <v>1114366</v>
          </cell>
          <cell r="F40">
            <v>1141125</v>
          </cell>
          <cell r="G40">
            <v>1169480</v>
          </cell>
          <cell r="H40">
            <v>1195488</v>
          </cell>
          <cell r="I40">
            <v>1220187</v>
          </cell>
          <cell r="J40">
            <v>1245214</v>
          </cell>
        </row>
        <row r="41">
          <cell r="A41">
            <v>49</v>
          </cell>
          <cell r="B41" t="str">
            <v>Quảng Nam</v>
          </cell>
          <cell r="C41">
            <v>1475750</v>
          </cell>
          <cell r="D41">
            <v>1483288</v>
          </cell>
          <cell r="E41">
            <v>1490764</v>
          </cell>
          <cell r="F41">
            <v>1497479</v>
          </cell>
          <cell r="G41">
            <v>1505042</v>
          </cell>
          <cell r="H41">
            <v>1518477</v>
          </cell>
          <cell r="I41">
            <v>1519381</v>
          </cell>
          <cell r="J41">
            <v>1526055</v>
          </cell>
        </row>
        <row r="42">
          <cell r="A42">
            <v>51</v>
          </cell>
          <cell r="B42" t="str">
            <v>Quảng Ngãi</v>
          </cell>
          <cell r="C42">
            <v>1227463</v>
          </cell>
          <cell r="D42">
            <v>1228938</v>
          </cell>
          <cell r="E42">
            <v>1230500</v>
          </cell>
          <cell r="F42">
            <v>1231893</v>
          </cell>
          <cell r="G42">
            <v>1233396</v>
          </cell>
          <cell r="H42">
            <v>1244132</v>
          </cell>
          <cell r="I42">
            <v>1245649</v>
          </cell>
          <cell r="J42">
            <v>1248111</v>
          </cell>
        </row>
        <row r="43">
          <cell r="A43">
            <v>52</v>
          </cell>
          <cell r="B43" t="str">
            <v>Bình Định</v>
          </cell>
          <cell r="C43">
            <v>1487684</v>
          </cell>
          <cell r="D43">
            <v>1487719</v>
          </cell>
          <cell r="E43">
            <v>1487771</v>
          </cell>
          <cell r="F43">
            <v>1487817</v>
          </cell>
          <cell r="G43">
            <v>1487903</v>
          </cell>
          <cell r="H43">
            <v>1508322</v>
          </cell>
          <cell r="I43">
            <v>1504285</v>
          </cell>
          <cell r="J43">
            <v>1506331</v>
          </cell>
        </row>
        <row r="44">
          <cell r="A44">
            <v>54</v>
          </cell>
          <cell r="B44" t="str">
            <v>Phú Yên</v>
          </cell>
          <cell r="C44">
            <v>868149</v>
          </cell>
          <cell r="D44">
            <v>870048</v>
          </cell>
          <cell r="E44">
            <v>871495</v>
          </cell>
          <cell r="F44">
            <v>873164</v>
          </cell>
          <cell r="G44">
            <v>874295</v>
          </cell>
          <cell r="H44">
            <v>875535</v>
          </cell>
          <cell r="I44">
            <v>876619</v>
          </cell>
          <cell r="J44">
            <v>877704</v>
          </cell>
        </row>
        <row r="45">
          <cell r="A45">
            <v>56</v>
          </cell>
          <cell r="B45" t="str">
            <v>Khánh Hoà</v>
          </cell>
          <cell r="C45">
            <v>1207163</v>
          </cell>
          <cell r="D45">
            <v>1216289</v>
          </cell>
          <cell r="E45">
            <v>1224485</v>
          </cell>
          <cell r="F45">
            <v>1232823</v>
          </cell>
          <cell r="G45">
            <v>1240436</v>
          </cell>
          <cell r="H45">
            <v>1248062</v>
          </cell>
          <cell r="I45">
            <v>1253969</v>
          </cell>
          <cell r="J45">
            <v>1260623</v>
          </cell>
        </row>
        <row r="46">
          <cell r="A46">
            <v>58</v>
          </cell>
          <cell r="B46" t="str">
            <v>Ninh Thuận</v>
          </cell>
          <cell r="C46">
            <v>581497</v>
          </cell>
          <cell r="D46">
            <v>585375</v>
          </cell>
          <cell r="E46">
            <v>588860</v>
          </cell>
          <cell r="F46">
            <v>591032</v>
          </cell>
          <cell r="G46">
            <v>593644</v>
          </cell>
          <cell r="H46">
            <v>596049</v>
          </cell>
          <cell r="I46">
            <v>598683</v>
          </cell>
          <cell r="J46">
            <v>601217</v>
          </cell>
        </row>
        <row r="47">
          <cell r="A47">
            <v>60</v>
          </cell>
          <cell r="B47" t="str">
            <v>Bình Thuận</v>
          </cell>
          <cell r="C47">
            <v>1213562</v>
          </cell>
          <cell r="D47">
            <v>1220467</v>
          </cell>
          <cell r="E47">
            <v>1227269</v>
          </cell>
          <cell r="F47">
            <v>1232267</v>
          </cell>
          <cell r="G47">
            <v>1239256</v>
          </cell>
          <cell r="H47">
            <v>1246306</v>
          </cell>
          <cell r="I47">
            <v>1252056</v>
          </cell>
          <cell r="J47">
            <v>1258788</v>
          </cell>
        </row>
        <row r="48">
          <cell r="A48">
            <v>62</v>
          </cell>
          <cell r="B48" t="str">
            <v>Kon Tum</v>
          </cell>
          <cell r="C48">
            <v>507818</v>
          </cell>
          <cell r="D48">
            <v>520100</v>
          </cell>
          <cell r="E48">
            <v>532358</v>
          </cell>
          <cell r="F48">
            <v>543400</v>
          </cell>
          <cell r="G48">
            <v>555645</v>
          </cell>
          <cell r="H48">
            <v>568780</v>
          </cell>
          <cell r="I48">
            <v>579914</v>
          </cell>
          <cell r="J48">
            <v>591266</v>
          </cell>
        </row>
        <row r="49">
          <cell r="A49">
            <v>64</v>
          </cell>
          <cell r="B49" t="str">
            <v>Gia Lai</v>
          </cell>
          <cell r="C49">
            <v>1447133</v>
          </cell>
          <cell r="D49">
            <v>1468934</v>
          </cell>
          <cell r="E49">
            <v>1495700</v>
          </cell>
          <cell r="F49">
            <v>1520155</v>
          </cell>
          <cell r="G49">
            <v>1541829</v>
          </cell>
          <cell r="H49">
            <v>1569721</v>
          </cell>
          <cell r="I49">
            <v>1590981</v>
          </cell>
          <cell r="J49">
            <v>1613895</v>
          </cell>
        </row>
        <row r="50">
          <cell r="A50">
            <v>66</v>
          </cell>
          <cell r="B50" t="str">
            <v>Đắk Lắk</v>
          </cell>
          <cell r="C50">
            <v>1836390</v>
          </cell>
          <cell r="D50">
            <v>1850314</v>
          </cell>
          <cell r="E50">
            <v>1861518</v>
          </cell>
          <cell r="F50">
            <v>1872574</v>
          </cell>
          <cell r="G50">
            <v>1886937</v>
          </cell>
          <cell r="H50">
            <v>1908999</v>
          </cell>
          <cell r="I50">
            <v>1918440</v>
          </cell>
          <cell r="J50">
            <v>1931455</v>
          </cell>
        </row>
        <row r="51">
          <cell r="A51">
            <v>67</v>
          </cell>
          <cell r="B51" t="str">
            <v>Đắk Nông</v>
          </cell>
          <cell r="C51">
            <v>594431</v>
          </cell>
          <cell r="D51">
            <v>604892</v>
          </cell>
          <cell r="E51">
            <v>615420</v>
          </cell>
          <cell r="F51">
            <v>625822</v>
          </cell>
          <cell r="G51">
            <v>637907</v>
          </cell>
          <cell r="H51">
            <v>664416</v>
          </cell>
          <cell r="I51">
            <v>670558</v>
          </cell>
          <cell r="J51">
            <v>681949</v>
          </cell>
        </row>
        <row r="52">
          <cell r="A52">
            <v>68</v>
          </cell>
          <cell r="B52" t="str">
            <v>Lâm Đồng</v>
          </cell>
          <cell r="C52">
            <v>1271315</v>
          </cell>
          <cell r="D52">
            <v>1281339</v>
          </cell>
          <cell r="E52">
            <v>1291441</v>
          </cell>
          <cell r="F52">
            <v>1299335</v>
          </cell>
          <cell r="G52">
            <v>1309792</v>
          </cell>
          <cell r="H52">
            <v>1321839</v>
          </cell>
          <cell r="I52">
            <v>1332532</v>
          </cell>
          <cell r="J52">
            <v>1344998</v>
          </cell>
        </row>
        <row r="53">
          <cell r="A53">
            <v>70</v>
          </cell>
          <cell r="B53" t="str">
            <v>Bình Phước</v>
          </cell>
          <cell r="C53">
            <v>962675</v>
          </cell>
          <cell r="D53">
            <v>972610</v>
          </cell>
          <cell r="E53">
            <v>984910</v>
          </cell>
          <cell r="F53">
            <v>997766</v>
          </cell>
          <cell r="G53">
            <v>1011076</v>
          </cell>
          <cell r="H53">
            <v>1024285</v>
          </cell>
          <cell r="I53">
            <v>1034667</v>
          </cell>
          <cell r="J53">
            <v>1045490</v>
          </cell>
        </row>
        <row r="54">
          <cell r="A54">
            <v>72</v>
          </cell>
          <cell r="B54" t="str">
            <v>Tây Ninh</v>
          </cell>
          <cell r="C54">
            <v>1139654</v>
          </cell>
          <cell r="D54">
            <v>1151074</v>
          </cell>
          <cell r="E54">
            <v>1160681</v>
          </cell>
          <cell r="F54">
            <v>1171683</v>
          </cell>
          <cell r="G54">
            <v>1178329</v>
          </cell>
          <cell r="H54">
            <v>1181907</v>
          </cell>
          <cell r="I54">
            <v>1188758</v>
          </cell>
          <cell r="J54">
            <v>1194905</v>
          </cell>
        </row>
        <row r="55">
          <cell r="A55">
            <v>74</v>
          </cell>
          <cell r="B55" t="str">
            <v>Bình Dương</v>
          </cell>
          <cell r="C55">
            <v>2138788</v>
          </cell>
          <cell r="D55">
            <v>2227154</v>
          </cell>
          <cell r="E55">
            <v>2345184</v>
          </cell>
          <cell r="F55">
            <v>2456319</v>
          </cell>
          <cell r="G55">
            <v>2580550</v>
          </cell>
          <cell r="H55">
            <v>2596785</v>
          </cell>
          <cell r="I55">
            <v>2763124</v>
          </cell>
          <cell r="J55">
            <v>2823427</v>
          </cell>
        </row>
        <row r="56">
          <cell r="A56">
            <v>75</v>
          </cell>
          <cell r="B56" t="str">
            <v>Đồng Nai</v>
          </cell>
          <cell r="C56">
            <v>2951368</v>
          </cell>
          <cell r="D56">
            <v>3004857</v>
          </cell>
          <cell r="E56">
            <v>3055089</v>
          </cell>
          <cell r="F56">
            <v>3113713</v>
          </cell>
          <cell r="G56">
            <v>3177401</v>
          </cell>
          <cell r="H56">
            <v>3169103</v>
          </cell>
          <cell r="I56">
            <v>3255806</v>
          </cell>
          <cell r="J56">
            <v>3310862</v>
          </cell>
        </row>
        <row r="57">
          <cell r="A57">
            <v>77</v>
          </cell>
          <cell r="B57" t="str">
            <v>Bà Rịa-Vũng Tàu(***)</v>
          </cell>
          <cell r="C57">
            <v>1117607</v>
          </cell>
          <cell r="D57">
            <v>1127244</v>
          </cell>
          <cell r="E57">
            <v>1138281</v>
          </cell>
          <cell r="F57">
            <v>1152218</v>
          </cell>
          <cell r="G57">
            <v>1167937</v>
          </cell>
          <cell r="H57">
            <v>1176079</v>
          </cell>
          <cell r="I57">
            <v>1178695</v>
          </cell>
          <cell r="J57">
            <v>1187501</v>
          </cell>
        </row>
        <row r="58">
          <cell r="A58">
            <v>79</v>
          </cell>
          <cell r="B58" t="str">
            <v>TP Hồ Chí Minh</v>
          </cell>
          <cell r="C58">
            <v>8479141</v>
          </cell>
          <cell r="D58">
            <v>8649646</v>
          </cell>
          <cell r="E58">
            <v>8843200</v>
          </cell>
          <cell r="F58">
            <v>9038566</v>
          </cell>
          <cell r="G58">
            <v>9227598</v>
          </cell>
          <cell r="H58">
            <v>9166840</v>
          </cell>
          <cell r="I58">
            <v>9389717</v>
          </cell>
          <cell r="J58">
            <v>9456661</v>
          </cell>
        </row>
        <row r="59">
          <cell r="A59">
            <v>80</v>
          </cell>
          <cell r="B59" t="str">
            <v>Long An</v>
          </cell>
          <cell r="C59">
            <v>1645215</v>
          </cell>
          <cell r="D59">
            <v>1662280</v>
          </cell>
          <cell r="E59">
            <v>1678929</v>
          </cell>
          <cell r="F59">
            <v>1695100</v>
          </cell>
          <cell r="G59">
            <v>1713658</v>
          </cell>
          <cell r="H59">
            <v>1725752</v>
          </cell>
          <cell r="I59">
            <v>1734259</v>
          </cell>
          <cell r="J59">
            <v>1743430</v>
          </cell>
        </row>
        <row r="60">
          <cell r="A60">
            <v>82</v>
          </cell>
          <cell r="B60" t="str">
            <v>Tiền Giang</v>
          </cell>
          <cell r="C60">
            <v>1740138</v>
          </cell>
          <cell r="D60">
            <v>1751841</v>
          </cell>
          <cell r="E60">
            <v>1759065</v>
          </cell>
          <cell r="F60">
            <v>1766289</v>
          </cell>
          <cell r="G60">
            <v>1772544</v>
          </cell>
          <cell r="H60">
            <v>1779416</v>
          </cell>
          <cell r="I60">
            <v>1785236</v>
          </cell>
          <cell r="J60">
            <v>1790653</v>
          </cell>
        </row>
        <row r="61">
          <cell r="A61">
            <v>83</v>
          </cell>
          <cell r="B61" t="str">
            <v>Bến Tre</v>
          </cell>
          <cell r="C61">
            <v>1278619</v>
          </cell>
          <cell r="D61">
            <v>1282437</v>
          </cell>
          <cell r="E61">
            <v>1285963</v>
          </cell>
          <cell r="F61">
            <v>1289098</v>
          </cell>
          <cell r="G61">
            <v>1292397</v>
          </cell>
          <cell r="H61">
            <v>1295705</v>
          </cell>
          <cell r="I61">
            <v>1298006</v>
          </cell>
          <cell r="J61">
            <v>1299328</v>
          </cell>
        </row>
        <row r="62">
          <cell r="A62">
            <v>84</v>
          </cell>
          <cell r="B62" t="str">
            <v>Trà Vinh</v>
          </cell>
          <cell r="C62">
            <v>1007560</v>
          </cell>
          <cell r="D62">
            <v>1008087</v>
          </cell>
          <cell r="E62">
            <v>1008784</v>
          </cell>
          <cell r="F62">
            <v>1009322</v>
          </cell>
          <cell r="G62">
            <v>1009940</v>
          </cell>
          <cell r="H62">
            <v>1018635</v>
          </cell>
          <cell r="I62">
            <v>1019258</v>
          </cell>
          <cell r="J62">
            <v>1019882</v>
          </cell>
        </row>
        <row r="63">
          <cell r="A63">
            <v>86</v>
          </cell>
          <cell r="B63" t="str">
            <v>Vĩnh Long</v>
          </cell>
          <cell r="C63">
            <v>1022856</v>
          </cell>
          <cell r="D63">
            <v>1022617</v>
          </cell>
          <cell r="E63">
            <v>1022682</v>
          </cell>
          <cell r="F63">
            <v>1022619</v>
          </cell>
          <cell r="G63">
            <v>1022971</v>
          </cell>
          <cell r="H63">
            <v>1029015</v>
          </cell>
          <cell r="I63">
            <v>1028822</v>
          </cell>
          <cell r="J63">
            <v>1029630</v>
          </cell>
        </row>
        <row r="64">
          <cell r="A64">
            <v>87</v>
          </cell>
          <cell r="B64" t="str">
            <v>Đồng Tháp</v>
          </cell>
          <cell r="C64">
            <v>1619011</v>
          </cell>
          <cell r="D64">
            <v>1612489</v>
          </cell>
          <cell r="E64">
            <v>1606069</v>
          </cell>
          <cell r="F64">
            <v>1598754</v>
          </cell>
          <cell r="G64">
            <v>1600014</v>
          </cell>
          <cell r="H64">
            <v>1601306</v>
          </cell>
          <cell r="I64">
            <v>1600170</v>
          </cell>
          <cell r="J64">
            <v>1600250</v>
          </cell>
        </row>
        <row r="65">
          <cell r="A65">
            <v>89</v>
          </cell>
          <cell r="B65" t="str">
            <v>An Giang</v>
          </cell>
          <cell r="C65">
            <v>1976372</v>
          </cell>
          <cell r="D65">
            <v>1954177</v>
          </cell>
          <cell r="E65">
            <v>1931000</v>
          </cell>
          <cell r="F65">
            <v>1907401</v>
          </cell>
          <cell r="G65">
            <v>1904532</v>
          </cell>
          <cell r="H65">
            <v>1909506</v>
          </cell>
          <cell r="I65">
            <v>1905516</v>
          </cell>
          <cell r="J65">
            <v>1906265</v>
          </cell>
        </row>
        <row r="66">
          <cell r="A66">
            <v>91</v>
          </cell>
          <cell r="B66" t="str">
            <v>Kiên Giang</v>
          </cell>
          <cell r="C66">
            <v>1708708</v>
          </cell>
          <cell r="D66">
            <v>1712891</v>
          </cell>
          <cell r="E66">
            <v>1718130</v>
          </cell>
          <cell r="F66">
            <v>1723695</v>
          </cell>
          <cell r="G66">
            <v>1728869</v>
          </cell>
          <cell r="H66">
            <v>1752321</v>
          </cell>
          <cell r="I66">
            <v>1751758</v>
          </cell>
          <cell r="J66">
            <v>1755338</v>
          </cell>
        </row>
        <row r="67">
          <cell r="A67">
            <v>92</v>
          </cell>
          <cell r="B67" t="str">
            <v>Cần Thơ</v>
          </cell>
          <cell r="C67">
            <v>1214590</v>
          </cell>
          <cell r="D67">
            <v>1222417</v>
          </cell>
          <cell r="E67">
            <v>1227744</v>
          </cell>
          <cell r="F67">
            <v>1235954</v>
          </cell>
          <cell r="G67">
            <v>1240731</v>
          </cell>
          <cell r="H67">
            <v>1246993</v>
          </cell>
          <cell r="I67">
            <v>1252348</v>
          </cell>
          <cell r="J67">
            <v>1258877</v>
          </cell>
        </row>
        <row r="68">
          <cell r="A68">
            <v>93</v>
          </cell>
          <cell r="B68" t="str">
            <v>Hậu Giang</v>
          </cell>
          <cell r="C68">
            <v>740059</v>
          </cell>
          <cell r="D68">
            <v>737252</v>
          </cell>
          <cell r="E68">
            <v>734903</v>
          </cell>
          <cell r="F68">
            <v>732162</v>
          </cell>
          <cell r="G68">
            <v>729780</v>
          </cell>
          <cell r="H68">
            <v>729888</v>
          </cell>
          <cell r="I68">
            <v>729467</v>
          </cell>
          <cell r="J68">
            <v>728293</v>
          </cell>
        </row>
        <row r="69">
          <cell r="A69">
            <v>94</v>
          </cell>
          <cell r="B69" t="str">
            <v>Sóc Trăng</v>
          </cell>
          <cell r="C69">
            <v>1227576</v>
          </cell>
          <cell r="D69">
            <v>1218315</v>
          </cell>
          <cell r="E69">
            <v>1208822</v>
          </cell>
          <cell r="F69">
            <v>1199528</v>
          </cell>
          <cell r="G69">
            <v>1195741</v>
          </cell>
          <cell r="H69">
            <v>1206819</v>
          </cell>
          <cell r="I69">
            <v>1197823</v>
          </cell>
          <cell r="J69">
            <v>1198798</v>
          </cell>
        </row>
        <row r="70">
          <cell r="A70">
            <v>95</v>
          </cell>
          <cell r="B70" t="str">
            <v>Bạc Liêu</v>
          </cell>
          <cell r="C70">
            <v>892802</v>
          </cell>
          <cell r="D70">
            <v>897718</v>
          </cell>
          <cell r="E70">
            <v>902964</v>
          </cell>
          <cell r="F70">
            <v>908241</v>
          </cell>
          <cell r="G70">
            <v>913481</v>
          </cell>
          <cell r="H70">
            <v>918510</v>
          </cell>
          <cell r="I70">
            <v>921809</v>
          </cell>
          <cell r="J70">
            <v>925169</v>
          </cell>
        </row>
        <row r="71">
          <cell r="A71">
            <v>96</v>
          </cell>
          <cell r="B71" t="str">
            <v>Cà Mau</v>
          </cell>
          <cell r="C71">
            <v>1198120</v>
          </cell>
          <cell r="D71">
            <v>1196979</v>
          </cell>
          <cell r="E71">
            <v>1195559</v>
          </cell>
          <cell r="F71">
            <v>1194281</v>
          </cell>
          <cell r="G71">
            <v>1193894</v>
          </cell>
          <cell r="H71">
            <v>1208752</v>
          </cell>
          <cell r="I71">
            <v>1207627</v>
          </cell>
          <cell r="J71">
            <v>1207374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3358.9</v>
          </cell>
          <cell r="D9">
            <v>3358.6</v>
          </cell>
          <cell r="E9">
            <v>3358.6</v>
          </cell>
          <cell r="F9">
            <v>3358.6</v>
          </cell>
          <cell r="G9">
            <v>336</v>
          </cell>
          <cell r="H9">
            <v>336</v>
          </cell>
          <cell r="I9">
            <v>336</v>
          </cell>
        </row>
        <row r="10">
          <cell r="A10" t="str">
            <v>02</v>
          </cell>
          <cell r="B10" t="str">
            <v>Hà Giang</v>
          </cell>
          <cell r="C10">
            <v>7929.2</v>
          </cell>
          <cell r="D10">
            <v>7929.5</v>
          </cell>
          <cell r="E10">
            <v>7929.5</v>
          </cell>
          <cell r="F10">
            <v>7929.5</v>
          </cell>
          <cell r="G10">
            <v>792.8</v>
          </cell>
          <cell r="H10">
            <v>792.8</v>
          </cell>
          <cell r="I10">
            <v>792.8</v>
          </cell>
        </row>
        <row r="11">
          <cell r="A11" t="str">
            <v>04</v>
          </cell>
          <cell r="B11" t="str">
            <v>Cao Bằng</v>
          </cell>
          <cell r="C11">
            <v>6700.2</v>
          </cell>
          <cell r="D11">
            <v>6700.3</v>
          </cell>
          <cell r="E11">
            <v>6700.3</v>
          </cell>
          <cell r="F11">
            <v>6700.3</v>
          </cell>
          <cell r="G11">
            <v>670</v>
          </cell>
          <cell r="H11">
            <v>670</v>
          </cell>
          <cell r="I11">
            <v>670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</row>
        <row r="13">
          <cell r="A13">
            <v>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</row>
        <row r="14">
          <cell r="A14">
            <v>10</v>
          </cell>
          <cell r="B14" t="str">
            <v>Lào Cai</v>
          </cell>
          <cell r="C14">
            <v>6364</v>
          </cell>
          <cell r="D14">
            <v>6364</v>
          </cell>
          <cell r="E14">
            <v>6364</v>
          </cell>
          <cell r="F14">
            <v>6364</v>
          </cell>
          <cell r="G14">
            <v>636.4</v>
          </cell>
          <cell r="H14">
            <v>636.4</v>
          </cell>
          <cell r="I14">
            <v>636.4</v>
          </cell>
        </row>
        <row r="15">
          <cell r="A15">
            <v>11</v>
          </cell>
          <cell r="B15" t="str">
            <v>Điện Biên</v>
          </cell>
          <cell r="C15">
            <v>9540.9</v>
          </cell>
          <cell r="D15">
            <v>9541.2999999999993</v>
          </cell>
          <cell r="E15">
            <v>9541.2000000000007</v>
          </cell>
          <cell r="F15">
            <v>9541.2999999999993</v>
          </cell>
          <cell r="G15">
            <v>954</v>
          </cell>
          <cell r="H15">
            <v>954</v>
          </cell>
          <cell r="I15">
            <v>954</v>
          </cell>
        </row>
        <row r="16">
          <cell r="A16">
            <v>12</v>
          </cell>
          <cell r="B16" t="str">
            <v>Lai Châu</v>
          </cell>
          <cell r="C16">
            <v>9069.5</v>
          </cell>
          <cell r="D16">
            <v>9068.7999999999993</v>
          </cell>
          <cell r="E16">
            <v>9068.7999999999993</v>
          </cell>
          <cell r="F16">
            <v>9068.7999999999993</v>
          </cell>
          <cell r="G16">
            <v>906.9</v>
          </cell>
          <cell r="H16">
            <v>906.9</v>
          </cell>
          <cell r="I16">
            <v>906.9</v>
          </cell>
        </row>
        <row r="17">
          <cell r="A17">
            <v>14</v>
          </cell>
          <cell r="B17" t="str">
            <v>Sơn La</v>
          </cell>
          <cell r="C17">
            <v>14123.5</v>
          </cell>
          <cell r="D17">
            <v>14123.5</v>
          </cell>
          <cell r="E17">
            <v>14123.5</v>
          </cell>
          <cell r="F17">
            <v>14123.5</v>
          </cell>
          <cell r="G17">
            <v>1411</v>
          </cell>
          <cell r="H17">
            <v>1411</v>
          </cell>
          <cell r="I17">
            <v>1411</v>
          </cell>
        </row>
        <row r="18">
          <cell r="A18">
            <v>15</v>
          </cell>
          <cell r="B18" t="str">
            <v>Yên Bái</v>
          </cell>
          <cell r="C18">
            <v>6887.6</v>
          </cell>
          <cell r="D18">
            <v>6887.7</v>
          </cell>
          <cell r="E18">
            <v>6887.7</v>
          </cell>
          <cell r="F18">
            <v>6887.5</v>
          </cell>
          <cell r="G18">
            <v>689.3</v>
          </cell>
          <cell r="H18">
            <v>689.3</v>
          </cell>
          <cell r="I18">
            <v>689.3</v>
          </cell>
        </row>
        <row r="19">
          <cell r="A19">
            <v>17</v>
          </cell>
          <cell r="B19" t="str">
            <v>Hoà Bình</v>
          </cell>
          <cell r="C19">
            <v>4590.7</v>
          </cell>
          <cell r="D19">
            <v>4590.6000000000004</v>
          </cell>
          <cell r="E19">
            <v>4590.6000000000004</v>
          </cell>
          <cell r="F19">
            <v>4590.6000000000004</v>
          </cell>
          <cell r="G19">
            <v>459</v>
          </cell>
          <cell r="H19">
            <v>459</v>
          </cell>
          <cell r="I19">
            <v>459</v>
          </cell>
        </row>
        <row r="20">
          <cell r="A20">
            <v>19</v>
          </cell>
          <cell r="B20" t="str">
            <v>Thái Nguyên</v>
          </cell>
          <cell r="C20">
            <v>3526.7</v>
          </cell>
          <cell r="D20">
            <v>3526.6</v>
          </cell>
          <cell r="E20">
            <v>3526.6</v>
          </cell>
          <cell r="F20">
            <v>3526.6</v>
          </cell>
          <cell r="G20">
            <v>352.2</v>
          </cell>
          <cell r="H20">
            <v>352.2</v>
          </cell>
          <cell r="I20">
            <v>352.2</v>
          </cell>
        </row>
        <row r="21">
          <cell r="A21">
            <v>20</v>
          </cell>
          <cell r="B21" t="str">
            <v>Lạng Sơn</v>
          </cell>
          <cell r="C21">
            <v>8310.2000000000007</v>
          </cell>
          <cell r="D21">
            <v>8310.1</v>
          </cell>
          <cell r="E21">
            <v>8310.1</v>
          </cell>
          <cell r="F21">
            <v>8310.1</v>
          </cell>
          <cell r="G21">
            <v>831</v>
          </cell>
          <cell r="H21">
            <v>831</v>
          </cell>
          <cell r="I21">
            <v>831</v>
          </cell>
        </row>
        <row r="22">
          <cell r="A22">
            <v>22</v>
          </cell>
          <cell r="B22" t="str">
            <v>Quảng Ninh</v>
          </cell>
          <cell r="C22">
            <v>6177.7</v>
          </cell>
          <cell r="D22">
            <v>6177.8</v>
          </cell>
          <cell r="E22">
            <v>6178.2</v>
          </cell>
          <cell r="F22">
            <v>6178.2</v>
          </cell>
          <cell r="G22">
            <v>620.79999999999995</v>
          </cell>
          <cell r="H22">
            <v>620.79999999999995</v>
          </cell>
          <cell r="I22">
            <v>620.79999999999995</v>
          </cell>
        </row>
        <row r="23">
          <cell r="A23">
            <v>24</v>
          </cell>
          <cell r="B23" t="str">
            <v>Bắc Giang</v>
          </cell>
          <cell r="C23">
            <v>3895.5</v>
          </cell>
          <cell r="D23">
            <v>3895.5</v>
          </cell>
          <cell r="E23">
            <v>3895.6</v>
          </cell>
          <cell r="F23">
            <v>3895.6</v>
          </cell>
          <cell r="G23">
            <v>389.6</v>
          </cell>
          <cell r="H23">
            <v>389.6</v>
          </cell>
          <cell r="I23">
            <v>389.6</v>
          </cell>
        </row>
        <row r="24">
          <cell r="A24">
            <v>25</v>
          </cell>
          <cell r="B24" t="str">
            <v>Phú Thọ</v>
          </cell>
          <cell r="C24">
            <v>3534.4</v>
          </cell>
          <cell r="D24">
            <v>3534.6</v>
          </cell>
          <cell r="E24">
            <v>3534.6</v>
          </cell>
          <cell r="F24">
            <v>3534.6</v>
          </cell>
          <cell r="G24">
            <v>353.5</v>
          </cell>
          <cell r="H24">
            <v>353.5</v>
          </cell>
          <cell r="I24">
            <v>353.5</v>
          </cell>
        </row>
        <row r="25">
          <cell r="A25">
            <v>26</v>
          </cell>
          <cell r="B25" t="str">
            <v>Vĩnh Phúc</v>
          </cell>
          <cell r="C25">
            <v>1235.3</v>
          </cell>
          <cell r="D25">
            <v>1235.2</v>
          </cell>
          <cell r="E25">
            <v>1235.2</v>
          </cell>
          <cell r="F25">
            <v>1235.9000000000001</v>
          </cell>
          <cell r="G25">
            <v>123.6</v>
          </cell>
          <cell r="H25">
            <v>123.6</v>
          </cell>
          <cell r="I25">
            <v>123.6</v>
          </cell>
        </row>
        <row r="26">
          <cell r="A26">
            <v>27</v>
          </cell>
          <cell r="B26" t="str">
            <v>Bắc Ninh</v>
          </cell>
          <cell r="C26">
            <v>822.8</v>
          </cell>
          <cell r="D26">
            <v>822.7</v>
          </cell>
          <cell r="E26">
            <v>822.7</v>
          </cell>
          <cell r="F26">
            <v>822.7</v>
          </cell>
          <cell r="G26">
            <v>82.3</v>
          </cell>
          <cell r="H26">
            <v>82.3</v>
          </cell>
          <cell r="I26">
            <v>82.3</v>
          </cell>
        </row>
        <row r="27">
          <cell r="A27">
            <v>30</v>
          </cell>
          <cell r="B27" t="str">
            <v>Hải Dương</v>
          </cell>
          <cell r="C27">
            <v>1668.3</v>
          </cell>
          <cell r="D27">
            <v>1668.2</v>
          </cell>
          <cell r="E27">
            <v>1668.2</v>
          </cell>
          <cell r="F27">
            <v>1668.2</v>
          </cell>
          <cell r="G27">
            <v>166.8</v>
          </cell>
          <cell r="H27">
            <v>166.8</v>
          </cell>
          <cell r="I27">
            <v>166.8</v>
          </cell>
        </row>
        <row r="28">
          <cell r="A28">
            <v>31</v>
          </cell>
          <cell r="B28" t="str">
            <v>Hải Phòng</v>
          </cell>
          <cell r="C28">
            <v>1561.7</v>
          </cell>
          <cell r="D28">
            <v>1561.8</v>
          </cell>
          <cell r="E28">
            <v>1561.8</v>
          </cell>
          <cell r="F28">
            <v>1561.8</v>
          </cell>
          <cell r="G28">
            <v>152.69999999999999</v>
          </cell>
          <cell r="H28">
            <v>152.69999999999999</v>
          </cell>
          <cell r="I28">
            <v>152.69999999999999</v>
          </cell>
        </row>
        <row r="29">
          <cell r="A29">
            <v>33</v>
          </cell>
          <cell r="B29" t="str">
            <v>Hưng Yên</v>
          </cell>
          <cell r="C29">
            <v>930.3</v>
          </cell>
          <cell r="D29">
            <v>930.2</v>
          </cell>
          <cell r="E29">
            <v>930.2</v>
          </cell>
          <cell r="F29">
            <v>930.2</v>
          </cell>
          <cell r="G29">
            <v>93</v>
          </cell>
          <cell r="H29">
            <v>93</v>
          </cell>
          <cell r="I29">
            <v>93</v>
          </cell>
        </row>
        <row r="30">
          <cell r="A30">
            <v>34</v>
          </cell>
          <cell r="B30" t="str">
            <v>Thái Bình</v>
          </cell>
          <cell r="C30">
            <v>1586.5</v>
          </cell>
          <cell r="D30">
            <v>1586.3</v>
          </cell>
          <cell r="E30">
            <v>1586.4</v>
          </cell>
          <cell r="F30">
            <v>1586.4</v>
          </cell>
          <cell r="G30">
            <v>158.5</v>
          </cell>
          <cell r="H30">
            <v>158.5</v>
          </cell>
          <cell r="I30">
            <v>158.5</v>
          </cell>
        </row>
        <row r="31">
          <cell r="A31">
            <v>35</v>
          </cell>
          <cell r="B31" t="str">
            <v>Hà Nam</v>
          </cell>
          <cell r="C31">
            <v>862</v>
          </cell>
          <cell r="D31">
            <v>861.9</v>
          </cell>
          <cell r="E31">
            <v>861.9</v>
          </cell>
          <cell r="F31">
            <v>861.9</v>
          </cell>
          <cell r="G31">
            <v>86.2</v>
          </cell>
          <cell r="H31">
            <v>86.2</v>
          </cell>
          <cell r="I31">
            <v>86.2</v>
          </cell>
        </row>
        <row r="32">
          <cell r="A32">
            <v>36</v>
          </cell>
          <cell r="B32" t="str">
            <v>Nam Định</v>
          </cell>
          <cell r="C32">
            <v>1668.5</v>
          </cell>
          <cell r="D32">
            <v>1668.5</v>
          </cell>
          <cell r="E32">
            <v>1668.5</v>
          </cell>
          <cell r="F32">
            <v>1668.6</v>
          </cell>
          <cell r="G32">
            <v>166.9</v>
          </cell>
          <cell r="H32">
            <v>166.9</v>
          </cell>
          <cell r="I32">
            <v>166.9</v>
          </cell>
        </row>
        <row r="33">
          <cell r="A33">
            <v>37</v>
          </cell>
          <cell r="B33" t="str">
            <v>Ninh Bình</v>
          </cell>
          <cell r="C33">
            <v>1386.8</v>
          </cell>
          <cell r="D33">
            <v>1386.8</v>
          </cell>
          <cell r="E33">
            <v>1386.8</v>
          </cell>
          <cell r="F33">
            <v>1386.8</v>
          </cell>
          <cell r="G33">
            <v>141.19999999999999</v>
          </cell>
          <cell r="H33">
            <v>141.19999999999999</v>
          </cell>
          <cell r="I33">
            <v>141.19999999999999</v>
          </cell>
        </row>
        <row r="34">
          <cell r="A34">
            <v>38</v>
          </cell>
          <cell r="B34" t="str">
            <v>Thanh Hoá</v>
          </cell>
          <cell r="C34">
            <v>11114.5</v>
          </cell>
          <cell r="D34">
            <v>11114.7</v>
          </cell>
          <cell r="E34">
            <v>11114.6</v>
          </cell>
          <cell r="F34">
            <v>11114.6</v>
          </cell>
          <cell r="G34">
            <v>1111.5</v>
          </cell>
          <cell r="H34">
            <v>1111.5</v>
          </cell>
          <cell r="I34">
            <v>1111.5</v>
          </cell>
        </row>
        <row r="35">
          <cell r="A35">
            <v>40</v>
          </cell>
          <cell r="B35" t="str">
            <v>Nghệ An</v>
          </cell>
          <cell r="C35">
            <v>16481.7</v>
          </cell>
          <cell r="D35">
            <v>16481.599999999999</v>
          </cell>
          <cell r="E35">
            <v>16481.599999999999</v>
          </cell>
          <cell r="F35">
            <v>16481.400000000001</v>
          </cell>
          <cell r="G35">
            <v>1648.7</v>
          </cell>
          <cell r="H35">
            <v>1648.6</v>
          </cell>
          <cell r="I35">
            <v>1648.6</v>
          </cell>
        </row>
        <row r="36">
          <cell r="A36">
            <v>42</v>
          </cell>
          <cell r="B36" t="str">
            <v>Hà Tĩnh</v>
          </cell>
          <cell r="C36">
            <v>5990.6</v>
          </cell>
          <cell r="D36">
            <v>5990.7</v>
          </cell>
          <cell r="E36">
            <v>5990.7</v>
          </cell>
          <cell r="F36">
            <v>5990.7</v>
          </cell>
          <cell r="G36">
            <v>599.4</v>
          </cell>
          <cell r="H36">
            <v>599.4</v>
          </cell>
          <cell r="I36">
            <v>599.4</v>
          </cell>
        </row>
        <row r="37">
          <cell r="A37">
            <v>44</v>
          </cell>
          <cell r="B37" t="str">
            <v>Quảng Bình</v>
          </cell>
          <cell r="C37">
            <v>8000.1</v>
          </cell>
          <cell r="D37">
            <v>8000</v>
          </cell>
          <cell r="E37">
            <v>8000</v>
          </cell>
          <cell r="F37">
            <v>8000</v>
          </cell>
          <cell r="G37">
            <v>799.9</v>
          </cell>
          <cell r="H37">
            <v>799.9</v>
          </cell>
          <cell r="I37">
            <v>799.9</v>
          </cell>
        </row>
        <row r="38">
          <cell r="A38">
            <v>45</v>
          </cell>
          <cell r="B38" t="str">
            <v>Quảng Trị</v>
          </cell>
          <cell r="C38">
            <v>4621.8</v>
          </cell>
          <cell r="D38">
            <v>4621.7</v>
          </cell>
          <cell r="E38">
            <v>4621.7</v>
          </cell>
          <cell r="F38">
            <v>4621.7</v>
          </cell>
          <cell r="G38">
            <v>470.1</v>
          </cell>
          <cell r="H38">
            <v>470.1</v>
          </cell>
          <cell r="I38">
            <v>470.1</v>
          </cell>
        </row>
        <row r="39">
          <cell r="A39">
            <v>46</v>
          </cell>
          <cell r="B39" t="str">
            <v>Thừa Thiên Huế</v>
          </cell>
          <cell r="C39">
            <v>4902.3999999999996</v>
          </cell>
          <cell r="D39">
            <v>4902.5</v>
          </cell>
          <cell r="E39">
            <v>4902.3999999999996</v>
          </cell>
          <cell r="F39">
            <v>4902.3999999999996</v>
          </cell>
          <cell r="G39">
            <v>494.7</v>
          </cell>
          <cell r="H39">
            <v>494.7</v>
          </cell>
          <cell r="I39">
            <v>494.7</v>
          </cell>
        </row>
        <row r="40">
          <cell r="A40">
            <v>48</v>
          </cell>
          <cell r="B40" t="str">
            <v>Đà Nẵng</v>
          </cell>
          <cell r="C40">
            <v>1284.9000000000001</v>
          </cell>
          <cell r="D40">
            <v>1284.9000000000001</v>
          </cell>
          <cell r="E40">
            <v>1284.9000000000001</v>
          </cell>
          <cell r="F40">
            <v>1284.9000000000001</v>
          </cell>
          <cell r="G40">
            <v>128.5</v>
          </cell>
          <cell r="H40">
            <v>128.5</v>
          </cell>
          <cell r="I40">
            <v>128.5</v>
          </cell>
        </row>
        <row r="41">
          <cell r="A41">
            <v>49</v>
          </cell>
          <cell r="B41" t="str">
            <v>Quảng Nam</v>
          </cell>
          <cell r="C41">
            <v>10574.7</v>
          </cell>
          <cell r="D41">
            <v>10574.7</v>
          </cell>
          <cell r="E41">
            <v>10574.7</v>
          </cell>
          <cell r="F41">
            <v>10574.7</v>
          </cell>
          <cell r="G41">
            <v>1057.5</v>
          </cell>
          <cell r="H41">
            <v>1057.5</v>
          </cell>
          <cell r="I41">
            <v>1057.5</v>
          </cell>
        </row>
        <row r="42">
          <cell r="A42">
            <v>51</v>
          </cell>
          <cell r="B42" t="str">
            <v>Quảng Ngãi</v>
          </cell>
          <cell r="C42">
            <v>5152.5</v>
          </cell>
          <cell r="D42">
            <v>5152.5</v>
          </cell>
          <cell r="E42">
            <v>5155.8</v>
          </cell>
          <cell r="F42">
            <v>5155.8</v>
          </cell>
          <cell r="G42">
            <v>515.5</v>
          </cell>
          <cell r="H42">
            <v>515.5</v>
          </cell>
          <cell r="I42">
            <v>515.5</v>
          </cell>
        </row>
        <row r="43">
          <cell r="A43">
            <v>52</v>
          </cell>
          <cell r="B43" t="str">
            <v>Bình Định</v>
          </cell>
          <cell r="C43">
            <v>6066.2</v>
          </cell>
          <cell r="D43">
            <v>6066.2</v>
          </cell>
          <cell r="E43">
            <v>6066.2</v>
          </cell>
          <cell r="F43">
            <v>6066.2</v>
          </cell>
          <cell r="G43">
            <v>606.6</v>
          </cell>
          <cell r="H43">
            <v>606.6</v>
          </cell>
          <cell r="I43">
            <v>606.6</v>
          </cell>
        </row>
        <row r="44">
          <cell r="A44">
            <v>54</v>
          </cell>
          <cell r="B44" t="str">
            <v>Phú Yên</v>
          </cell>
          <cell r="C44">
            <v>5023.3999999999996</v>
          </cell>
          <cell r="D44">
            <v>5023.3999999999996</v>
          </cell>
          <cell r="E44">
            <v>5023.3999999999996</v>
          </cell>
          <cell r="F44">
            <v>5023.3999999999996</v>
          </cell>
          <cell r="G44">
            <v>502.6</v>
          </cell>
          <cell r="H44">
            <v>502.6</v>
          </cell>
          <cell r="I44">
            <v>502.6</v>
          </cell>
        </row>
        <row r="45">
          <cell r="A45">
            <v>56</v>
          </cell>
          <cell r="B45" t="str">
            <v>Khánh Hoà</v>
          </cell>
          <cell r="C45">
            <v>5137.8</v>
          </cell>
          <cell r="D45">
            <v>5137.8</v>
          </cell>
          <cell r="E45">
            <v>5137.8</v>
          </cell>
          <cell r="F45">
            <v>5137.8</v>
          </cell>
          <cell r="G45">
            <v>520</v>
          </cell>
          <cell r="H45">
            <v>520</v>
          </cell>
          <cell r="I45">
            <v>520</v>
          </cell>
        </row>
        <row r="46">
          <cell r="A46">
            <v>58</v>
          </cell>
          <cell r="B46" t="str">
            <v>Ninh Thuận</v>
          </cell>
          <cell r="C46">
            <v>3355.3</v>
          </cell>
          <cell r="D46">
            <v>3355.3</v>
          </cell>
          <cell r="E46">
            <v>3355.3</v>
          </cell>
          <cell r="F46">
            <v>3355.3</v>
          </cell>
          <cell r="G46">
            <v>335.5</v>
          </cell>
          <cell r="H46">
            <v>335.6</v>
          </cell>
          <cell r="I46">
            <v>335.6</v>
          </cell>
        </row>
        <row r="47">
          <cell r="A47">
            <v>60</v>
          </cell>
          <cell r="B47" t="str">
            <v>Bình Thuận</v>
          </cell>
          <cell r="C47">
            <v>7943.9</v>
          </cell>
          <cell r="D47">
            <v>7943.9</v>
          </cell>
          <cell r="E47">
            <v>7943.9</v>
          </cell>
          <cell r="F47">
            <v>7943.9</v>
          </cell>
          <cell r="G47">
            <v>794.3</v>
          </cell>
          <cell r="H47">
            <v>794.3</v>
          </cell>
          <cell r="I47">
            <v>794.3</v>
          </cell>
        </row>
        <row r="48">
          <cell r="A48">
            <v>62</v>
          </cell>
          <cell r="B48" t="str">
            <v>Kon Tum</v>
          </cell>
          <cell r="C48">
            <v>9674.2000000000007</v>
          </cell>
          <cell r="D48">
            <v>9674.2000000000007</v>
          </cell>
          <cell r="E48">
            <v>9674.2000000000007</v>
          </cell>
          <cell r="F48">
            <v>9674.2000000000007</v>
          </cell>
          <cell r="G48">
            <v>967.7</v>
          </cell>
          <cell r="H48">
            <v>967.7</v>
          </cell>
          <cell r="I48">
            <v>967.7</v>
          </cell>
        </row>
        <row r="49">
          <cell r="A49">
            <v>64</v>
          </cell>
          <cell r="B49" t="str">
            <v>Gia Lai</v>
          </cell>
          <cell r="C49">
            <v>15511</v>
          </cell>
          <cell r="D49">
            <v>15511</v>
          </cell>
          <cell r="E49">
            <v>15511</v>
          </cell>
          <cell r="F49">
            <v>15511</v>
          </cell>
          <cell r="G49">
            <v>1551</v>
          </cell>
          <cell r="H49">
            <v>1551</v>
          </cell>
          <cell r="I49">
            <v>1551</v>
          </cell>
        </row>
        <row r="50">
          <cell r="A50">
            <v>66</v>
          </cell>
          <cell r="B50" t="str">
            <v>Đắk Lắk</v>
          </cell>
          <cell r="C50">
            <v>13030.5</v>
          </cell>
          <cell r="D50">
            <v>13030.5</v>
          </cell>
          <cell r="E50">
            <v>13030.5</v>
          </cell>
          <cell r="F50">
            <v>13030.5</v>
          </cell>
          <cell r="G50">
            <v>1307</v>
          </cell>
          <cell r="H50">
            <v>1307</v>
          </cell>
          <cell r="I50">
            <v>1307</v>
          </cell>
        </row>
        <row r="51">
          <cell r="A51">
            <v>67</v>
          </cell>
          <cell r="B51" t="str">
            <v>Đắk Nông</v>
          </cell>
          <cell r="C51">
            <v>6509.3</v>
          </cell>
          <cell r="D51">
            <v>6509.3</v>
          </cell>
          <cell r="E51">
            <v>6509.3</v>
          </cell>
          <cell r="F51">
            <v>6509.3</v>
          </cell>
          <cell r="G51">
            <v>650.9</v>
          </cell>
          <cell r="H51">
            <v>650.9</v>
          </cell>
          <cell r="I51">
            <v>650.9</v>
          </cell>
        </row>
        <row r="52">
          <cell r="A52">
            <v>68</v>
          </cell>
          <cell r="B52" t="str">
            <v>Lâm Đồng</v>
          </cell>
          <cell r="C52">
            <v>9783.2999999999993</v>
          </cell>
          <cell r="D52">
            <v>9783.2999999999993</v>
          </cell>
          <cell r="E52">
            <v>9783.2999999999993</v>
          </cell>
          <cell r="F52">
            <v>9783.2999999999993</v>
          </cell>
          <cell r="G52">
            <v>978.1</v>
          </cell>
          <cell r="H52">
            <v>978.1</v>
          </cell>
          <cell r="I52">
            <v>978.1</v>
          </cell>
        </row>
        <row r="53">
          <cell r="A53">
            <v>70</v>
          </cell>
          <cell r="B53" t="str">
            <v>Bình Phước</v>
          </cell>
          <cell r="C53">
            <v>6876.8</v>
          </cell>
          <cell r="D53">
            <v>6876.8</v>
          </cell>
          <cell r="E53">
            <v>6876.8</v>
          </cell>
          <cell r="F53">
            <v>6876.8</v>
          </cell>
          <cell r="G53">
            <v>687.4</v>
          </cell>
          <cell r="H53">
            <v>687.4</v>
          </cell>
          <cell r="I53">
            <v>687.4</v>
          </cell>
        </row>
        <row r="54">
          <cell r="A54">
            <v>72</v>
          </cell>
          <cell r="B54" t="str">
            <v>Tây Ninh</v>
          </cell>
          <cell r="C54">
            <v>4041.3</v>
          </cell>
          <cell r="D54">
            <v>4041.3</v>
          </cell>
          <cell r="E54">
            <v>4041.3</v>
          </cell>
          <cell r="F54">
            <v>4041.3</v>
          </cell>
          <cell r="G54">
            <v>404.2</v>
          </cell>
          <cell r="H54">
            <v>404.2</v>
          </cell>
          <cell r="I54">
            <v>404.2</v>
          </cell>
        </row>
        <row r="55">
          <cell r="A55">
            <v>74</v>
          </cell>
          <cell r="B55" t="str">
            <v>Bình Dương</v>
          </cell>
          <cell r="C55">
            <v>2694.6</v>
          </cell>
          <cell r="D55">
            <v>2694.6</v>
          </cell>
          <cell r="E55">
            <v>2694.6</v>
          </cell>
          <cell r="F55">
            <v>2694.6</v>
          </cell>
          <cell r="G55">
            <v>269.5</v>
          </cell>
          <cell r="H55">
            <v>269.5</v>
          </cell>
          <cell r="I55">
            <v>269.5</v>
          </cell>
        </row>
        <row r="56">
          <cell r="A56">
            <v>75</v>
          </cell>
          <cell r="B56" t="str">
            <v>Đồng Nai</v>
          </cell>
          <cell r="C56">
            <v>5863.6</v>
          </cell>
          <cell r="D56">
            <v>5863.6</v>
          </cell>
          <cell r="E56">
            <v>5863.6</v>
          </cell>
          <cell r="F56">
            <v>5863.6</v>
          </cell>
          <cell r="G56">
            <v>586.4</v>
          </cell>
          <cell r="H56">
            <v>586.4</v>
          </cell>
          <cell r="I56">
            <v>586.4</v>
          </cell>
        </row>
        <row r="57">
          <cell r="A57">
            <v>77</v>
          </cell>
          <cell r="B57" t="str">
            <v>Bà Rịa-Vũng Tàu(***)</v>
          </cell>
          <cell r="C57">
            <v>1981</v>
          </cell>
          <cell r="D57">
            <v>1981</v>
          </cell>
          <cell r="E57">
            <v>1981</v>
          </cell>
          <cell r="F57">
            <v>1981</v>
          </cell>
          <cell r="G57">
            <v>198.3</v>
          </cell>
          <cell r="H57">
            <v>198.3</v>
          </cell>
          <cell r="I57">
            <v>198.3</v>
          </cell>
        </row>
        <row r="58">
          <cell r="A58">
            <v>79</v>
          </cell>
          <cell r="B58" t="str">
            <v>TP Hồ Chí Minh</v>
          </cell>
          <cell r="C58">
            <v>2061.1999999999998</v>
          </cell>
          <cell r="D58">
            <v>2061.1999999999998</v>
          </cell>
          <cell r="E58">
            <v>2061.4</v>
          </cell>
          <cell r="F58">
            <v>2061.4</v>
          </cell>
          <cell r="G58">
            <v>209.5</v>
          </cell>
          <cell r="H58">
            <v>209.5</v>
          </cell>
          <cell r="I58">
            <v>209.5</v>
          </cell>
        </row>
        <row r="59">
          <cell r="A59">
            <v>80</v>
          </cell>
          <cell r="B59" t="str">
            <v>Long An</v>
          </cell>
          <cell r="C59">
            <v>4494.8999999999996</v>
          </cell>
          <cell r="D59">
            <v>4494.8999999999996</v>
          </cell>
          <cell r="E59">
            <v>4494.8999999999996</v>
          </cell>
          <cell r="F59">
            <v>4494.8999999999996</v>
          </cell>
          <cell r="G59">
            <v>449.5</v>
          </cell>
          <cell r="H59">
            <v>449.5</v>
          </cell>
          <cell r="I59">
            <v>449.5</v>
          </cell>
        </row>
        <row r="60">
          <cell r="A60">
            <v>82</v>
          </cell>
          <cell r="B60" t="str">
            <v>Tiền Giang</v>
          </cell>
          <cell r="C60">
            <v>2510.6</v>
          </cell>
          <cell r="D60">
            <v>2510.6</v>
          </cell>
          <cell r="E60">
            <v>2510.6</v>
          </cell>
          <cell r="F60">
            <v>2510.6</v>
          </cell>
          <cell r="G60">
            <v>255.6</v>
          </cell>
          <cell r="H60">
            <v>255.6</v>
          </cell>
          <cell r="I60">
            <v>255.6</v>
          </cell>
        </row>
        <row r="61">
          <cell r="A61">
            <v>83</v>
          </cell>
          <cell r="B61" t="str">
            <v>Bến Tre</v>
          </cell>
          <cell r="C61">
            <v>2394.6999999999998</v>
          </cell>
          <cell r="D61">
            <v>2394.6999999999998</v>
          </cell>
          <cell r="E61">
            <v>2394.8000000000002</v>
          </cell>
          <cell r="F61">
            <v>2394.8000000000002</v>
          </cell>
          <cell r="G61">
            <v>238</v>
          </cell>
          <cell r="H61">
            <v>238</v>
          </cell>
          <cell r="I61">
            <v>238</v>
          </cell>
        </row>
        <row r="62">
          <cell r="A62">
            <v>84</v>
          </cell>
          <cell r="B62" t="str">
            <v>Trà Vinh</v>
          </cell>
          <cell r="C62">
            <v>2358.3000000000002</v>
          </cell>
          <cell r="D62">
            <v>2358.3000000000002</v>
          </cell>
          <cell r="E62">
            <v>2358.3000000000002</v>
          </cell>
          <cell r="F62">
            <v>2358.3000000000002</v>
          </cell>
          <cell r="G62">
            <v>239.1</v>
          </cell>
          <cell r="H62">
            <v>239.1</v>
          </cell>
          <cell r="I62">
            <v>239.1</v>
          </cell>
        </row>
        <row r="63">
          <cell r="A63">
            <v>86</v>
          </cell>
          <cell r="B63" t="str">
            <v>Vĩnh Long</v>
          </cell>
          <cell r="C63">
            <v>1525.7</v>
          </cell>
          <cell r="D63">
            <v>1525.7</v>
          </cell>
          <cell r="E63">
            <v>1525.7</v>
          </cell>
          <cell r="F63">
            <v>1525.7</v>
          </cell>
          <cell r="G63">
            <v>152.6</v>
          </cell>
          <cell r="H63">
            <v>152.6</v>
          </cell>
          <cell r="I63">
            <v>152.6</v>
          </cell>
        </row>
        <row r="64">
          <cell r="A64">
            <v>87</v>
          </cell>
          <cell r="B64" t="str">
            <v>Đồng Tháp</v>
          </cell>
          <cell r="C64">
            <v>3383.8</v>
          </cell>
          <cell r="D64">
            <v>3383.8</v>
          </cell>
          <cell r="E64">
            <v>3383.8</v>
          </cell>
          <cell r="F64">
            <v>3383.8</v>
          </cell>
          <cell r="G64">
            <v>338.2</v>
          </cell>
          <cell r="H64">
            <v>338.2</v>
          </cell>
          <cell r="I64">
            <v>338.2</v>
          </cell>
        </row>
        <row r="65">
          <cell r="A65">
            <v>89</v>
          </cell>
          <cell r="B65" t="str">
            <v>An Giang</v>
          </cell>
          <cell r="C65">
            <v>3536.7</v>
          </cell>
          <cell r="D65">
            <v>3536.7</v>
          </cell>
          <cell r="E65">
            <v>3536.7</v>
          </cell>
          <cell r="F65">
            <v>3536.7</v>
          </cell>
          <cell r="G65">
            <v>353.7</v>
          </cell>
          <cell r="H65">
            <v>353.7</v>
          </cell>
          <cell r="I65">
            <v>353.7</v>
          </cell>
        </row>
        <row r="66">
          <cell r="A66">
            <v>91</v>
          </cell>
          <cell r="B66" t="str">
            <v>Kiên Giang</v>
          </cell>
          <cell r="C66">
            <v>6348.8</v>
          </cell>
          <cell r="D66">
            <v>6348.8</v>
          </cell>
          <cell r="E66">
            <v>6348.8</v>
          </cell>
          <cell r="F66">
            <v>6348.8</v>
          </cell>
          <cell r="G66">
            <v>635.20000000000005</v>
          </cell>
          <cell r="H66">
            <v>635.29999999999995</v>
          </cell>
          <cell r="I66">
            <v>635.20000000000005</v>
          </cell>
        </row>
        <row r="67">
          <cell r="A67">
            <v>92</v>
          </cell>
          <cell r="B67" t="str">
            <v>Cần Thơ</v>
          </cell>
          <cell r="C67">
            <v>1439</v>
          </cell>
          <cell r="D67">
            <v>1439</v>
          </cell>
          <cell r="E67">
            <v>1439</v>
          </cell>
          <cell r="F67">
            <v>1439</v>
          </cell>
          <cell r="G67">
            <v>144</v>
          </cell>
          <cell r="H67">
            <v>144</v>
          </cell>
          <cell r="I67">
            <v>144</v>
          </cell>
        </row>
        <row r="68">
          <cell r="A68">
            <v>93</v>
          </cell>
          <cell r="B68" t="str">
            <v>Hậu Giang</v>
          </cell>
          <cell r="C68">
            <v>1621.7</v>
          </cell>
          <cell r="D68">
            <v>1621.7</v>
          </cell>
          <cell r="E68">
            <v>1621.7</v>
          </cell>
          <cell r="F68">
            <v>1621.7</v>
          </cell>
          <cell r="G68">
            <v>162.19999999999999</v>
          </cell>
          <cell r="H68">
            <v>162.19999999999999</v>
          </cell>
          <cell r="I68">
            <v>162.19999999999999</v>
          </cell>
        </row>
        <row r="69">
          <cell r="A69">
            <v>94</v>
          </cell>
          <cell r="B69" t="str">
            <v>Sóc Trăng</v>
          </cell>
          <cell r="C69">
            <v>3311.9</v>
          </cell>
          <cell r="D69">
            <v>3311.9</v>
          </cell>
          <cell r="E69">
            <v>3311.9</v>
          </cell>
          <cell r="F69">
            <v>3311.9</v>
          </cell>
          <cell r="G69">
            <v>329.8</v>
          </cell>
          <cell r="H69">
            <v>329.8</v>
          </cell>
          <cell r="I69">
            <v>329.8</v>
          </cell>
        </row>
        <row r="70">
          <cell r="A70">
            <v>95</v>
          </cell>
          <cell r="B70" t="str">
            <v>Bạc Liêu</v>
          </cell>
          <cell r="C70">
            <v>2669</v>
          </cell>
          <cell r="D70">
            <v>2669</v>
          </cell>
          <cell r="E70">
            <v>2669</v>
          </cell>
          <cell r="F70">
            <v>2669</v>
          </cell>
          <cell r="G70">
            <v>266.8</v>
          </cell>
          <cell r="H70">
            <v>266.8</v>
          </cell>
          <cell r="I70">
            <v>266.8</v>
          </cell>
        </row>
        <row r="71">
          <cell r="A71">
            <v>96</v>
          </cell>
          <cell r="B71" t="str">
            <v>Cà Mau</v>
          </cell>
          <cell r="C71">
            <v>5221.2</v>
          </cell>
          <cell r="D71">
            <v>5221.2</v>
          </cell>
          <cell r="E71">
            <v>5221.2</v>
          </cell>
          <cell r="F71">
            <v>5221.2</v>
          </cell>
          <cell r="G71">
            <v>527.5</v>
          </cell>
          <cell r="H71">
            <v>527.5</v>
          </cell>
          <cell r="I71">
            <v>527.5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5906</v>
          </cell>
          <cell r="D9">
            <v>6500</v>
          </cell>
          <cell r="E9">
            <v>6500</v>
          </cell>
          <cell r="F9">
            <v>6500</v>
          </cell>
          <cell r="G9">
            <v>6500</v>
          </cell>
        </row>
        <row r="10">
          <cell r="A10" t="str">
            <v>02</v>
          </cell>
          <cell r="B10" t="str">
            <v>Hà Giang</v>
          </cell>
          <cell r="C10">
            <v>139</v>
          </cell>
          <cell r="D10">
            <v>152</v>
          </cell>
          <cell r="E10">
            <v>148</v>
          </cell>
          <cell r="F10">
            <v>147.5</v>
          </cell>
          <cell r="G10">
            <v>271.8</v>
          </cell>
        </row>
        <row r="11">
          <cell r="A11" t="str">
            <v>04</v>
          </cell>
          <cell r="B11" t="str">
            <v>Cao Bằng</v>
          </cell>
          <cell r="C11">
            <v>52</v>
          </cell>
          <cell r="D11">
            <v>55</v>
          </cell>
          <cell r="E11">
            <v>18</v>
          </cell>
          <cell r="F11">
            <v>133</v>
          </cell>
          <cell r="G11">
            <v>0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</row>
        <row r="13">
          <cell r="A13">
            <v>8</v>
          </cell>
          <cell r="B13" t="str">
            <v>Tuyên Quang</v>
          </cell>
          <cell r="C13"/>
          <cell r="D13"/>
          <cell r="E13"/>
          <cell r="F13"/>
          <cell r="G13"/>
        </row>
        <row r="14">
          <cell r="A14">
            <v>10</v>
          </cell>
          <cell r="B14" t="str">
            <v>Lào Cai</v>
          </cell>
          <cell r="C14">
            <v>166</v>
          </cell>
          <cell r="D14">
            <v>166</v>
          </cell>
          <cell r="E14">
            <v>203</v>
          </cell>
          <cell r="F14">
            <v>214</v>
          </cell>
          <cell r="G14">
            <v>443.2</v>
          </cell>
        </row>
        <row r="15">
          <cell r="A15">
            <v>11</v>
          </cell>
          <cell r="B15" t="str">
            <v>Điện Biên</v>
          </cell>
          <cell r="C15">
            <v>98</v>
          </cell>
          <cell r="D15">
            <v>98</v>
          </cell>
          <cell r="E15">
            <v>109</v>
          </cell>
          <cell r="F15">
            <v>109</v>
          </cell>
          <cell r="G15">
            <v>253</v>
          </cell>
        </row>
        <row r="16">
          <cell r="A16">
            <v>12</v>
          </cell>
          <cell r="B16" t="str">
            <v>Lai Châu</v>
          </cell>
          <cell r="C16">
            <v>102</v>
          </cell>
          <cell r="D16">
            <v>105</v>
          </cell>
          <cell r="E16">
            <v>297</v>
          </cell>
          <cell r="F16">
            <v>301.3</v>
          </cell>
          <cell r="G16">
            <v>145.5</v>
          </cell>
        </row>
        <row r="17">
          <cell r="A17">
            <v>14</v>
          </cell>
          <cell r="B17" t="str">
            <v>Sơn La</v>
          </cell>
          <cell r="C17">
            <v>277</v>
          </cell>
          <cell r="D17">
            <v>235</v>
          </cell>
          <cell r="E17">
            <v>235</v>
          </cell>
          <cell r="F17">
            <v>219</v>
          </cell>
          <cell r="G17">
            <v>0</v>
          </cell>
        </row>
        <row r="18">
          <cell r="A18">
            <v>15</v>
          </cell>
          <cell r="B18" t="str">
            <v>Yên Bái</v>
          </cell>
          <cell r="C18">
            <v>167</v>
          </cell>
          <cell r="D18">
            <v>184</v>
          </cell>
          <cell r="E18">
            <v>204</v>
          </cell>
          <cell r="F18">
            <v>149.4</v>
          </cell>
          <cell r="G18">
            <v>416</v>
          </cell>
        </row>
        <row r="19">
          <cell r="A19">
            <v>17</v>
          </cell>
          <cell r="B19" t="str">
            <v>Hoà Bình</v>
          </cell>
          <cell r="C19">
            <v>89</v>
          </cell>
          <cell r="D19">
            <v>126</v>
          </cell>
          <cell r="E19">
            <v>123</v>
          </cell>
          <cell r="F19">
            <v>131.4</v>
          </cell>
          <cell r="G19">
            <v>380</v>
          </cell>
        </row>
        <row r="20">
          <cell r="A20">
            <v>19</v>
          </cell>
          <cell r="B20" t="str">
            <v>Thái Nguyên</v>
          </cell>
          <cell r="C20">
            <v>487</v>
          </cell>
          <cell r="D20">
            <v>551</v>
          </cell>
          <cell r="E20">
            <v>550</v>
          </cell>
          <cell r="F20">
            <v>550</v>
          </cell>
          <cell r="G20">
            <v>950</v>
          </cell>
        </row>
        <row r="21">
          <cell r="A21">
            <v>20</v>
          </cell>
          <cell r="B21" t="str">
            <v>Lạng Sơn</v>
          </cell>
          <cell r="C21">
            <v>251</v>
          </cell>
          <cell r="D21">
            <v>253</v>
          </cell>
          <cell r="E21">
            <v>253</v>
          </cell>
          <cell r="F21">
            <v>224</v>
          </cell>
          <cell r="G21">
            <v>426.7</v>
          </cell>
        </row>
        <row r="22">
          <cell r="A22">
            <v>22</v>
          </cell>
          <cell r="B22" t="str">
            <v>Quảng Ninh</v>
          </cell>
          <cell r="C22">
            <v>815</v>
          </cell>
          <cell r="D22">
            <v>1054</v>
          </cell>
          <cell r="E22">
            <v>1054</v>
          </cell>
          <cell r="F22">
            <v>1002.6</v>
          </cell>
          <cell r="G22">
            <v>1247</v>
          </cell>
        </row>
        <row r="23">
          <cell r="A23">
            <v>24</v>
          </cell>
          <cell r="B23" t="str">
            <v>Bắc Giang</v>
          </cell>
          <cell r="C23">
            <v>200</v>
          </cell>
          <cell r="D23">
            <v>183</v>
          </cell>
          <cell r="E23">
            <v>183</v>
          </cell>
          <cell r="F23">
            <v>183</v>
          </cell>
          <cell r="G23">
            <v>820</v>
          </cell>
        </row>
        <row r="24">
          <cell r="A24">
            <v>25</v>
          </cell>
          <cell r="B24" t="str">
            <v>Phú Thọ</v>
          </cell>
          <cell r="C24">
            <v>294</v>
          </cell>
          <cell r="D24">
            <v>310</v>
          </cell>
          <cell r="E24">
            <v>294</v>
          </cell>
          <cell r="F24">
            <v>299.89999999999998</v>
          </cell>
          <cell r="G24">
            <v>700</v>
          </cell>
        </row>
        <row r="25">
          <cell r="A25">
            <v>26</v>
          </cell>
          <cell r="B25" t="str">
            <v>Vĩnh Phúc</v>
          </cell>
          <cell r="C25">
            <v>235</v>
          </cell>
          <cell r="D25">
            <v>296</v>
          </cell>
          <cell r="E25">
            <v>295</v>
          </cell>
          <cell r="F25">
            <v>295</v>
          </cell>
          <cell r="G25">
            <v>920</v>
          </cell>
        </row>
        <row r="26">
          <cell r="A26">
            <v>27</v>
          </cell>
          <cell r="B26" t="str">
            <v>Bắc Ninh</v>
          </cell>
          <cell r="C26">
            <v>335</v>
          </cell>
          <cell r="D26">
            <v>410</v>
          </cell>
          <cell r="E26">
            <v>430</v>
          </cell>
          <cell r="F26">
            <v>870</v>
          </cell>
          <cell r="G26">
            <v>800</v>
          </cell>
        </row>
        <row r="27">
          <cell r="A27">
            <v>30</v>
          </cell>
          <cell r="B27" t="str">
            <v>Hải Dương</v>
          </cell>
          <cell r="C27">
            <v>360</v>
          </cell>
          <cell r="D27">
            <v>277</v>
          </cell>
          <cell r="E27">
            <v>277</v>
          </cell>
          <cell r="F27">
            <v>362</v>
          </cell>
          <cell r="G27">
            <v>1273</v>
          </cell>
        </row>
        <row r="28">
          <cell r="A28">
            <v>31</v>
          </cell>
          <cell r="B28" t="str">
            <v>Hải Phòng</v>
          </cell>
          <cell r="C28">
            <v>1086</v>
          </cell>
          <cell r="D28">
            <v>1086</v>
          </cell>
          <cell r="E28">
            <v>1100</v>
          </cell>
          <cell r="F28">
            <v>1776</v>
          </cell>
          <cell r="G28">
            <v>2647</v>
          </cell>
        </row>
        <row r="29">
          <cell r="A29">
            <v>33</v>
          </cell>
          <cell r="B29" t="str">
            <v>Hưng Yên</v>
          </cell>
          <cell r="C29">
            <v>338</v>
          </cell>
          <cell r="D29">
            <v>132</v>
          </cell>
          <cell r="E29">
            <v>225</v>
          </cell>
          <cell r="F29">
            <v>140.6</v>
          </cell>
          <cell r="G29">
            <v>700</v>
          </cell>
        </row>
        <row r="30">
          <cell r="A30">
            <v>34</v>
          </cell>
          <cell r="B30" t="str">
            <v>Thái Bình</v>
          </cell>
          <cell r="C30">
            <v>452</v>
          </cell>
          <cell r="D30">
            <v>442</v>
          </cell>
          <cell r="E30">
            <v>442</v>
          </cell>
          <cell r="F30">
            <v>649</v>
          </cell>
          <cell r="G30">
            <v>817</v>
          </cell>
        </row>
        <row r="31">
          <cell r="A31">
            <v>35</v>
          </cell>
          <cell r="B31" t="str">
            <v>Hà Nam</v>
          </cell>
          <cell r="C31">
            <v>145</v>
          </cell>
          <cell r="D31">
            <v>78</v>
          </cell>
          <cell r="E31">
            <v>80</v>
          </cell>
          <cell r="F31">
            <v>104.2</v>
          </cell>
          <cell r="G31">
            <v>0</v>
          </cell>
        </row>
        <row r="32">
          <cell r="A32">
            <v>36</v>
          </cell>
          <cell r="B32" t="str">
            <v>Nam Định</v>
          </cell>
          <cell r="C32">
            <v>193</v>
          </cell>
          <cell r="D32">
            <v>194</v>
          </cell>
          <cell r="E32">
            <v>185</v>
          </cell>
          <cell r="F32">
            <v>342.8</v>
          </cell>
          <cell r="G32">
            <v>930.1</v>
          </cell>
        </row>
        <row r="33">
          <cell r="A33">
            <v>37</v>
          </cell>
          <cell r="B33" t="str">
            <v>Ninh Bình</v>
          </cell>
          <cell r="C33">
            <v>205</v>
          </cell>
          <cell r="D33">
            <v>205</v>
          </cell>
          <cell r="E33">
            <v>281</v>
          </cell>
          <cell r="F33">
            <v>234</v>
          </cell>
          <cell r="G33">
            <v>549</v>
          </cell>
        </row>
        <row r="34">
          <cell r="A34">
            <v>38</v>
          </cell>
          <cell r="B34" t="str">
            <v>Thanh Hoá</v>
          </cell>
          <cell r="C34">
            <v>768</v>
          </cell>
          <cell r="D34">
            <v>890</v>
          </cell>
          <cell r="E34">
            <v>1248</v>
          </cell>
          <cell r="F34">
            <v>820</v>
          </cell>
          <cell r="G34">
            <v>2156</v>
          </cell>
        </row>
        <row r="35">
          <cell r="A35">
            <v>40</v>
          </cell>
          <cell r="B35" t="str">
            <v>Nghệ An</v>
          </cell>
          <cell r="C35">
            <v>392</v>
          </cell>
          <cell r="D35">
            <v>979</v>
          </cell>
          <cell r="E35">
            <v>1315</v>
          </cell>
          <cell r="F35">
            <v>1241</v>
          </cell>
          <cell r="G35">
            <v>1667.1</v>
          </cell>
        </row>
        <row r="36">
          <cell r="A36">
            <v>42</v>
          </cell>
          <cell r="B36" t="str">
            <v>Hà Tĩnh</v>
          </cell>
          <cell r="C36">
            <v>214</v>
          </cell>
          <cell r="D36">
            <v>214</v>
          </cell>
          <cell r="E36">
            <v>175</v>
          </cell>
          <cell r="F36">
            <v>517</v>
          </cell>
          <cell r="G36">
            <v>662.8</v>
          </cell>
        </row>
        <row r="37">
          <cell r="A37">
            <v>44</v>
          </cell>
          <cell r="B37" t="str">
            <v>Quảng Bình</v>
          </cell>
          <cell r="C37">
            <v>520</v>
          </cell>
          <cell r="D37">
            <v>520</v>
          </cell>
          <cell r="E37">
            <v>606</v>
          </cell>
          <cell r="F37">
            <v>606.29999999999995</v>
          </cell>
          <cell r="G37">
            <v>0</v>
          </cell>
        </row>
        <row r="38">
          <cell r="A38">
            <v>45</v>
          </cell>
          <cell r="B38" t="str">
            <v>Quảng Trị</v>
          </cell>
          <cell r="C38">
            <v>198</v>
          </cell>
          <cell r="D38">
            <v>363</v>
          </cell>
          <cell r="E38">
            <v>280</v>
          </cell>
          <cell r="F38">
            <v>268.5</v>
          </cell>
          <cell r="G38">
            <v>368</v>
          </cell>
        </row>
        <row r="39">
          <cell r="A39">
            <v>46</v>
          </cell>
          <cell r="B39" t="str">
            <v>Thừa Thiên Huế</v>
          </cell>
          <cell r="C39">
            <v>310</v>
          </cell>
          <cell r="D39">
            <v>342</v>
          </cell>
          <cell r="E39">
            <v>446</v>
          </cell>
          <cell r="F39">
            <v>445.7</v>
          </cell>
          <cell r="G39">
            <v>602.4</v>
          </cell>
        </row>
        <row r="40">
          <cell r="A40">
            <v>48</v>
          </cell>
          <cell r="B40" t="str">
            <v>Đà Nẵng</v>
          </cell>
          <cell r="C40">
            <v>751</v>
          </cell>
          <cell r="D40">
            <v>751</v>
          </cell>
          <cell r="E40">
            <v>959</v>
          </cell>
          <cell r="F40">
            <v>1050</v>
          </cell>
          <cell r="G40">
            <v>0</v>
          </cell>
        </row>
        <row r="41">
          <cell r="A41">
            <v>49</v>
          </cell>
          <cell r="B41" t="str">
            <v>Quảng Nam</v>
          </cell>
          <cell r="C41">
            <v>225</v>
          </cell>
          <cell r="D41">
            <v>225</v>
          </cell>
          <cell r="E41">
            <v>280</v>
          </cell>
          <cell r="F41">
            <v>306.89999999999998</v>
          </cell>
          <cell r="G41">
            <v>810.9</v>
          </cell>
        </row>
        <row r="42">
          <cell r="A42">
            <v>51</v>
          </cell>
          <cell r="B42" t="str">
            <v>Quảng Ngãi</v>
          </cell>
          <cell r="C42">
            <v>133</v>
          </cell>
          <cell r="D42">
            <v>122</v>
          </cell>
          <cell r="E42">
            <v>222</v>
          </cell>
          <cell r="F42">
            <v>221.6</v>
          </cell>
          <cell r="G42">
            <v>0</v>
          </cell>
        </row>
        <row r="43">
          <cell r="A43">
            <v>52</v>
          </cell>
          <cell r="B43" t="str">
            <v>Bình Định</v>
          </cell>
          <cell r="C43">
            <v>1221</v>
          </cell>
          <cell r="D43">
            <v>1460</v>
          </cell>
          <cell r="E43">
            <v>1856</v>
          </cell>
          <cell r="F43">
            <v>714.3</v>
          </cell>
          <cell r="G43">
            <v>2102</v>
          </cell>
        </row>
        <row r="44">
          <cell r="A44">
            <v>54</v>
          </cell>
          <cell r="B44" t="str">
            <v>Phú Yên</v>
          </cell>
          <cell r="C44">
            <v>209</v>
          </cell>
          <cell r="D44">
            <v>223</v>
          </cell>
          <cell r="E44">
            <v>208</v>
          </cell>
          <cell r="F44">
            <v>270</v>
          </cell>
          <cell r="G44">
            <v>524</v>
          </cell>
        </row>
        <row r="45">
          <cell r="A45">
            <v>56</v>
          </cell>
          <cell r="B45" t="str">
            <v>Khánh Hoà</v>
          </cell>
          <cell r="C45">
            <v>475</v>
          </cell>
          <cell r="D45">
            <v>475</v>
          </cell>
          <cell r="E45">
            <v>626</v>
          </cell>
          <cell r="F45">
            <v>626</v>
          </cell>
          <cell r="G45">
            <v>895.5</v>
          </cell>
        </row>
        <row r="46">
          <cell r="A46">
            <v>58</v>
          </cell>
          <cell r="B46" t="str">
            <v>Ninh Thuận</v>
          </cell>
          <cell r="C46">
            <v>117</v>
          </cell>
          <cell r="D46">
            <v>130</v>
          </cell>
          <cell r="E46">
            <v>117</v>
          </cell>
          <cell r="F46">
            <v>421.9</v>
          </cell>
          <cell r="G46">
            <v>495</v>
          </cell>
        </row>
        <row r="47">
          <cell r="A47">
            <v>60</v>
          </cell>
          <cell r="B47" t="str">
            <v>Bình Thuận</v>
          </cell>
          <cell r="C47">
            <v>207</v>
          </cell>
          <cell r="D47">
            <v>550</v>
          </cell>
          <cell r="E47">
            <v>683</v>
          </cell>
          <cell r="F47">
            <v>683</v>
          </cell>
          <cell r="G47">
            <v>0</v>
          </cell>
        </row>
        <row r="48">
          <cell r="A48">
            <v>62</v>
          </cell>
          <cell r="B48" t="str">
            <v>Kon Tum</v>
          </cell>
          <cell r="C48">
            <v>92</v>
          </cell>
          <cell r="D48">
            <v>195</v>
          </cell>
          <cell r="E48">
            <v>158</v>
          </cell>
          <cell r="F48">
            <v>106.2</v>
          </cell>
          <cell r="G48">
            <v>360.6</v>
          </cell>
        </row>
        <row r="49">
          <cell r="A49">
            <v>64</v>
          </cell>
          <cell r="B49" t="str">
            <v>Gia Lai</v>
          </cell>
          <cell r="C49">
            <v>252</v>
          </cell>
          <cell r="D49">
            <v>302</v>
          </cell>
          <cell r="E49">
            <v>328</v>
          </cell>
          <cell r="F49">
            <v>1121</v>
          </cell>
          <cell r="G49">
            <v>697.7</v>
          </cell>
        </row>
        <row r="50">
          <cell r="A50">
            <v>66</v>
          </cell>
          <cell r="B50" t="str">
            <v>Đắk Lắk</v>
          </cell>
          <cell r="C50">
            <v>347</v>
          </cell>
          <cell r="D50">
            <v>369</v>
          </cell>
          <cell r="E50">
            <v>342</v>
          </cell>
          <cell r="F50">
            <v>436.9</v>
          </cell>
          <cell r="G50">
            <v>1524.7</v>
          </cell>
        </row>
        <row r="51">
          <cell r="A51">
            <v>67</v>
          </cell>
          <cell r="B51" t="str">
            <v>Đắk Nông</v>
          </cell>
          <cell r="C51">
            <v>56</v>
          </cell>
          <cell r="D51">
            <v>52</v>
          </cell>
          <cell r="E51">
            <v>71</v>
          </cell>
          <cell r="F51">
            <v>100.3</v>
          </cell>
          <cell r="G51">
            <v>208.6</v>
          </cell>
        </row>
        <row r="52">
          <cell r="A52">
            <v>68</v>
          </cell>
          <cell r="B52" t="str">
            <v>Lâm Đồng</v>
          </cell>
          <cell r="C52">
            <v>379</v>
          </cell>
          <cell r="D52">
            <v>379</v>
          </cell>
          <cell r="E52">
            <v>379</v>
          </cell>
          <cell r="F52">
            <v>440</v>
          </cell>
          <cell r="G52">
            <v>898.6</v>
          </cell>
        </row>
        <row r="53">
          <cell r="A53">
            <v>70</v>
          </cell>
          <cell r="B53" t="str">
            <v>Bình Phước</v>
          </cell>
          <cell r="C53">
            <v>175</v>
          </cell>
          <cell r="D53">
            <v>206</v>
          </cell>
          <cell r="E53">
            <v>260</v>
          </cell>
          <cell r="F53">
            <v>212.4</v>
          </cell>
          <cell r="G53">
            <v>542.4</v>
          </cell>
        </row>
        <row r="54">
          <cell r="A54">
            <v>72</v>
          </cell>
          <cell r="B54" t="str">
            <v>Tây Ninh</v>
          </cell>
          <cell r="C54">
            <v>98</v>
          </cell>
          <cell r="D54">
            <v>131</v>
          </cell>
          <cell r="E54">
            <v>210</v>
          </cell>
          <cell r="F54">
            <v>241.2</v>
          </cell>
          <cell r="G54">
            <v>420</v>
          </cell>
        </row>
        <row r="55">
          <cell r="A55">
            <v>74</v>
          </cell>
          <cell r="B55" t="str">
            <v>Bình Dương</v>
          </cell>
          <cell r="C55">
            <v>300</v>
          </cell>
          <cell r="D55">
            <v>348</v>
          </cell>
          <cell r="E55">
            <v>352</v>
          </cell>
          <cell r="F55">
            <v>438</v>
          </cell>
          <cell r="G55">
            <v>880</v>
          </cell>
        </row>
        <row r="56">
          <cell r="A56">
            <v>75</v>
          </cell>
          <cell r="B56" t="str">
            <v>Đồng Nai</v>
          </cell>
          <cell r="C56">
            <v>1442</v>
          </cell>
          <cell r="D56">
            <v>1442</v>
          </cell>
          <cell r="E56">
            <v>1835</v>
          </cell>
          <cell r="F56">
            <v>1835</v>
          </cell>
          <cell r="G56">
            <v>21193</v>
          </cell>
        </row>
        <row r="57">
          <cell r="A57">
            <v>77</v>
          </cell>
          <cell r="B57" t="str">
            <v>Bà Rịa-Vũng Tàu(***)</v>
          </cell>
          <cell r="C57">
            <v>409</v>
          </cell>
          <cell r="D57">
            <v>676</v>
          </cell>
          <cell r="E57">
            <v>620</v>
          </cell>
          <cell r="F57">
            <v>900</v>
          </cell>
          <cell r="G57">
            <v>920</v>
          </cell>
        </row>
        <row r="58">
          <cell r="A58">
            <v>79</v>
          </cell>
          <cell r="B58" t="str">
            <v>TP Hồ Chí Minh</v>
          </cell>
          <cell r="C58">
            <v>7650</v>
          </cell>
          <cell r="D58">
            <v>8900</v>
          </cell>
          <cell r="E58">
            <v>8900</v>
          </cell>
          <cell r="F58">
            <v>9000</v>
          </cell>
          <cell r="G58">
            <v>0</v>
          </cell>
        </row>
        <row r="59">
          <cell r="A59">
            <v>80</v>
          </cell>
          <cell r="B59" t="str">
            <v>Long An</v>
          </cell>
          <cell r="C59">
            <v>300</v>
          </cell>
          <cell r="D59">
            <v>420</v>
          </cell>
          <cell r="E59">
            <v>420</v>
          </cell>
          <cell r="F59">
            <v>420</v>
          </cell>
          <cell r="G59">
            <v>715</v>
          </cell>
        </row>
        <row r="60">
          <cell r="A60">
            <v>82</v>
          </cell>
          <cell r="B60" t="str">
            <v>Tiền Giang</v>
          </cell>
          <cell r="C60">
            <v>291</v>
          </cell>
          <cell r="D60">
            <v>304</v>
          </cell>
          <cell r="E60">
            <v>304</v>
          </cell>
          <cell r="F60">
            <v>361</v>
          </cell>
          <cell r="G60">
            <v>1262</v>
          </cell>
        </row>
        <row r="61">
          <cell r="A61">
            <v>83</v>
          </cell>
          <cell r="B61" t="str">
            <v>Bến Tre</v>
          </cell>
          <cell r="C61">
            <v>163</v>
          </cell>
          <cell r="D61">
            <v>155</v>
          </cell>
          <cell r="E61">
            <v>153</v>
          </cell>
          <cell r="F61">
            <v>153</v>
          </cell>
          <cell r="G61">
            <v>0</v>
          </cell>
        </row>
        <row r="62">
          <cell r="A62">
            <v>84</v>
          </cell>
          <cell r="B62" t="str">
            <v>Trà Vinh</v>
          </cell>
          <cell r="C62">
            <v>111</v>
          </cell>
          <cell r="D62">
            <v>400</v>
          </cell>
          <cell r="E62">
            <v>400</v>
          </cell>
          <cell r="F62">
            <v>361.2</v>
          </cell>
          <cell r="G62">
            <v>671.5</v>
          </cell>
        </row>
        <row r="63">
          <cell r="A63">
            <v>86</v>
          </cell>
          <cell r="B63" t="str">
            <v>Vĩnh Long</v>
          </cell>
          <cell r="C63">
            <v>118</v>
          </cell>
          <cell r="D63">
            <v>102</v>
          </cell>
          <cell r="E63">
            <v>189</v>
          </cell>
          <cell r="F63">
            <v>195</v>
          </cell>
          <cell r="G63">
            <v>825.9</v>
          </cell>
        </row>
        <row r="64">
          <cell r="A64">
            <v>87</v>
          </cell>
          <cell r="B64" t="str">
            <v>Đồng Tháp</v>
          </cell>
          <cell r="C64">
            <v>414</v>
          </cell>
          <cell r="D64">
            <v>414</v>
          </cell>
          <cell r="E64">
            <v>238</v>
          </cell>
          <cell r="F64">
            <v>500</v>
          </cell>
          <cell r="G64">
            <v>800</v>
          </cell>
        </row>
        <row r="65">
          <cell r="A65">
            <v>89</v>
          </cell>
          <cell r="B65" t="str">
            <v>An Giang</v>
          </cell>
          <cell r="C65">
            <v>542</v>
          </cell>
          <cell r="D65">
            <v>415</v>
          </cell>
          <cell r="E65">
            <v>547</v>
          </cell>
          <cell r="F65">
            <v>730</v>
          </cell>
          <cell r="G65">
            <v>1150</v>
          </cell>
        </row>
        <row r="66">
          <cell r="A66">
            <v>91</v>
          </cell>
          <cell r="B66" t="str">
            <v>Kiên Giang</v>
          </cell>
          <cell r="C66">
            <v>433</v>
          </cell>
          <cell r="D66">
            <v>621</v>
          </cell>
          <cell r="E66">
            <v>624</v>
          </cell>
          <cell r="F66">
            <v>623.9</v>
          </cell>
          <cell r="G66">
            <v>0</v>
          </cell>
        </row>
        <row r="67">
          <cell r="A67">
            <v>92</v>
          </cell>
          <cell r="B67" t="str">
            <v>Cần Thơ</v>
          </cell>
          <cell r="C67">
            <v>518</v>
          </cell>
          <cell r="D67">
            <v>567</v>
          </cell>
          <cell r="E67">
            <v>605</v>
          </cell>
          <cell r="F67">
            <v>605</v>
          </cell>
          <cell r="G67">
            <v>630</v>
          </cell>
        </row>
        <row r="68">
          <cell r="A68">
            <v>93</v>
          </cell>
          <cell r="B68" t="str">
            <v>Hậu Giang</v>
          </cell>
          <cell r="C68">
            <v>212</v>
          </cell>
          <cell r="D68">
            <v>212</v>
          </cell>
          <cell r="E68">
            <v>212</v>
          </cell>
          <cell r="F68">
            <v>239</v>
          </cell>
          <cell r="G68">
            <v>690</v>
          </cell>
        </row>
        <row r="69">
          <cell r="A69">
            <v>94</v>
          </cell>
          <cell r="B69" t="str">
            <v>Sóc Trăng</v>
          </cell>
          <cell r="C69">
            <v>288</v>
          </cell>
          <cell r="D69">
            <v>288</v>
          </cell>
          <cell r="E69">
            <v>288</v>
          </cell>
          <cell r="F69">
            <v>288</v>
          </cell>
          <cell r="G69">
            <v>789.4</v>
          </cell>
        </row>
        <row r="70">
          <cell r="A70">
            <v>95</v>
          </cell>
          <cell r="B70" t="str">
            <v>Bạc Liêu</v>
          </cell>
          <cell r="C70">
            <v>134</v>
          </cell>
          <cell r="D70">
            <v>207</v>
          </cell>
          <cell r="E70">
            <v>190</v>
          </cell>
          <cell r="F70">
            <v>323</v>
          </cell>
          <cell r="G70">
            <v>393.8</v>
          </cell>
        </row>
        <row r="71">
          <cell r="A71">
            <v>96</v>
          </cell>
          <cell r="B71" t="str">
            <v>Cà Mau</v>
          </cell>
          <cell r="C71">
            <v>141</v>
          </cell>
          <cell r="D71">
            <v>161</v>
          </cell>
          <cell r="E71">
            <v>180</v>
          </cell>
          <cell r="F71">
            <v>182.4</v>
          </cell>
          <cell r="G71">
            <v>850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1928368</v>
          </cell>
          <cell r="D9">
            <v>1989545</v>
          </cell>
          <cell r="E9">
            <v>1986018</v>
          </cell>
          <cell r="F9">
            <v>2224107</v>
          </cell>
          <cell r="G9">
            <v>2166008</v>
          </cell>
          <cell r="H9">
            <v>2210791</v>
          </cell>
        </row>
        <row r="10">
          <cell r="A10" t="str">
            <v>02</v>
          </cell>
          <cell r="B10" t="str">
            <v>Hà Giang</v>
          </cell>
          <cell r="C10">
            <v>177880</v>
          </cell>
          <cell r="D10">
            <v>180879</v>
          </cell>
          <cell r="E10">
            <v>184301</v>
          </cell>
          <cell r="F10">
            <v>190777</v>
          </cell>
          <cell r="G10">
            <v>197031</v>
          </cell>
          <cell r="H10">
            <v>192929</v>
          </cell>
        </row>
        <row r="11">
          <cell r="A11" t="str">
            <v>04</v>
          </cell>
          <cell r="B11" t="str">
            <v>Cao Bằng</v>
          </cell>
          <cell r="C11">
            <v>139176</v>
          </cell>
          <cell r="D11">
            <v>141126</v>
          </cell>
          <cell r="E11">
            <v>140970</v>
          </cell>
          <cell r="F11">
            <v>137802</v>
          </cell>
          <cell r="G11">
            <v>140009</v>
          </cell>
          <cell r="H11">
            <v>140391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</row>
        <row r="13">
          <cell r="A13">
            <v>8</v>
          </cell>
          <cell r="B13" t="str">
            <v>Tuyên Quang</v>
          </cell>
          <cell r="C13"/>
          <cell r="D13"/>
          <cell r="E13"/>
          <cell r="F13"/>
          <cell r="G13"/>
          <cell r="H13"/>
        </row>
        <row r="14">
          <cell r="A14">
            <v>10</v>
          </cell>
          <cell r="B14" t="str">
            <v>Lào Cai</v>
          </cell>
          <cell r="C14">
            <v>166190</v>
          </cell>
          <cell r="D14">
            <v>166817</v>
          </cell>
          <cell r="E14">
            <v>170285</v>
          </cell>
          <cell r="F14">
            <v>175034</v>
          </cell>
          <cell r="G14">
            <v>177887</v>
          </cell>
          <cell r="H14">
            <v>178082</v>
          </cell>
        </row>
        <row r="15">
          <cell r="A15">
            <v>11</v>
          </cell>
          <cell r="B15" t="str">
            <v>Điện Biên</v>
          </cell>
          <cell r="C15">
            <v>124631</v>
          </cell>
          <cell r="D15">
            <v>127670</v>
          </cell>
          <cell r="E15">
            <v>130956</v>
          </cell>
          <cell r="F15">
            <v>134273</v>
          </cell>
          <cell r="G15">
            <v>140630</v>
          </cell>
          <cell r="H15">
            <v>142051</v>
          </cell>
        </row>
        <row r="16">
          <cell r="A16">
            <v>12</v>
          </cell>
          <cell r="B16" t="str">
            <v>Lai Châu</v>
          </cell>
          <cell r="C16">
            <v>93596</v>
          </cell>
          <cell r="D16">
            <v>97291</v>
          </cell>
          <cell r="E16">
            <v>99953</v>
          </cell>
          <cell r="F16">
            <v>101010</v>
          </cell>
          <cell r="G16">
            <v>102060</v>
          </cell>
          <cell r="H16">
            <v>107541</v>
          </cell>
        </row>
        <row r="17">
          <cell r="A17">
            <v>14</v>
          </cell>
          <cell r="B17" t="str">
            <v>Sơn La</v>
          </cell>
          <cell r="C17">
            <v>279226</v>
          </cell>
          <cell r="D17">
            <v>284971</v>
          </cell>
          <cell r="E17">
            <v>286902</v>
          </cell>
          <cell r="F17">
            <v>289516</v>
          </cell>
          <cell r="G17">
            <v>301839</v>
          </cell>
          <cell r="H17">
            <v>305646</v>
          </cell>
        </row>
        <row r="18">
          <cell r="A18">
            <v>15</v>
          </cell>
          <cell r="B18" t="str">
            <v>Yên Bái</v>
          </cell>
          <cell r="C18">
            <v>208199</v>
          </cell>
          <cell r="D18">
            <v>216193</v>
          </cell>
          <cell r="E18">
            <v>219573</v>
          </cell>
          <cell r="F18">
            <v>214184</v>
          </cell>
          <cell r="G18">
            <v>217505</v>
          </cell>
          <cell r="H18">
            <v>218050</v>
          </cell>
        </row>
        <row r="19">
          <cell r="A19">
            <v>17</v>
          </cell>
          <cell r="B19" t="str">
            <v>Hoà Bình</v>
          </cell>
          <cell r="C19">
            <v>212889</v>
          </cell>
          <cell r="D19">
            <v>217416</v>
          </cell>
          <cell r="E19">
            <v>222242</v>
          </cell>
          <cell r="F19">
            <v>220630</v>
          </cell>
          <cell r="G19">
            <v>221312</v>
          </cell>
          <cell r="H19">
            <v>220052</v>
          </cell>
        </row>
        <row r="20">
          <cell r="A20">
            <v>19</v>
          </cell>
          <cell r="B20" t="str">
            <v>Thái Nguyên</v>
          </cell>
          <cell r="C20">
            <v>343617</v>
          </cell>
          <cell r="D20">
            <v>356178</v>
          </cell>
          <cell r="E20">
            <v>360135</v>
          </cell>
          <cell r="F20">
            <v>359236</v>
          </cell>
          <cell r="G20">
            <v>342579</v>
          </cell>
          <cell r="H20">
            <v>358353</v>
          </cell>
        </row>
        <row r="21">
          <cell r="A21">
            <v>20</v>
          </cell>
          <cell r="B21" t="str">
            <v>Lạng Sơn</v>
          </cell>
          <cell r="C21">
            <v>198120</v>
          </cell>
          <cell r="D21">
            <v>200402</v>
          </cell>
          <cell r="E21">
            <v>199155</v>
          </cell>
          <cell r="F21">
            <v>198805</v>
          </cell>
          <cell r="G21">
            <v>200009</v>
          </cell>
          <cell r="H21">
            <v>201921</v>
          </cell>
        </row>
        <row r="22">
          <cell r="A22">
            <v>22</v>
          </cell>
          <cell r="B22" t="str">
            <v>Quảng Ninh</v>
          </cell>
          <cell r="C22">
            <v>345657</v>
          </cell>
          <cell r="D22">
            <v>344188</v>
          </cell>
          <cell r="E22">
            <v>347821</v>
          </cell>
          <cell r="F22">
            <v>368727</v>
          </cell>
          <cell r="G22">
            <v>367714</v>
          </cell>
          <cell r="H22">
            <v>372782</v>
          </cell>
        </row>
        <row r="23">
          <cell r="A23">
            <v>24</v>
          </cell>
          <cell r="B23" t="str">
            <v>Bắc Giang</v>
          </cell>
          <cell r="C23">
            <v>434483</v>
          </cell>
          <cell r="D23">
            <v>440802</v>
          </cell>
          <cell r="E23">
            <v>428642</v>
          </cell>
          <cell r="F23">
            <v>478834</v>
          </cell>
          <cell r="G23">
            <v>470051</v>
          </cell>
          <cell r="H23">
            <v>484062</v>
          </cell>
        </row>
        <row r="24">
          <cell r="A24">
            <v>25</v>
          </cell>
          <cell r="B24" t="str">
            <v>Phú Thọ</v>
          </cell>
          <cell r="C24">
            <v>394006</v>
          </cell>
          <cell r="D24">
            <v>392518</v>
          </cell>
          <cell r="E24">
            <v>385807</v>
          </cell>
          <cell r="F24">
            <v>402618</v>
          </cell>
          <cell r="G24">
            <v>402019</v>
          </cell>
          <cell r="H24">
            <v>401579</v>
          </cell>
        </row>
        <row r="25">
          <cell r="A25">
            <v>26</v>
          </cell>
          <cell r="B25" t="str">
            <v>Vĩnh Phúc</v>
          </cell>
          <cell r="C25">
            <v>278852</v>
          </cell>
          <cell r="D25">
            <v>284536</v>
          </cell>
          <cell r="E25">
            <v>284933</v>
          </cell>
          <cell r="F25">
            <v>308251</v>
          </cell>
          <cell r="G25">
            <v>310932</v>
          </cell>
          <cell r="H25">
            <v>304430</v>
          </cell>
        </row>
        <row r="26">
          <cell r="A26">
            <v>27</v>
          </cell>
          <cell r="B26" t="str">
            <v>Bắc Ninh</v>
          </cell>
          <cell r="C26">
            <v>318016</v>
          </cell>
          <cell r="D26">
            <v>321183</v>
          </cell>
          <cell r="E26">
            <v>324847</v>
          </cell>
          <cell r="F26">
            <v>424623</v>
          </cell>
          <cell r="G26">
            <v>402361</v>
          </cell>
          <cell r="H26">
            <v>434449</v>
          </cell>
        </row>
        <row r="27">
          <cell r="A27">
            <v>30</v>
          </cell>
          <cell r="B27" t="str">
            <v>Hải Dương</v>
          </cell>
          <cell r="C27">
            <v>556251</v>
          </cell>
          <cell r="D27">
            <v>538108</v>
          </cell>
          <cell r="E27">
            <v>553425</v>
          </cell>
          <cell r="F27">
            <v>585432</v>
          </cell>
          <cell r="G27">
            <v>566159</v>
          </cell>
          <cell r="H27">
            <v>571399</v>
          </cell>
        </row>
        <row r="28">
          <cell r="A28">
            <v>31</v>
          </cell>
          <cell r="B28" t="str">
            <v>Hải Phòng</v>
          </cell>
          <cell r="C28">
            <v>572591</v>
          </cell>
          <cell r="D28">
            <v>569103</v>
          </cell>
          <cell r="E28">
            <v>583783</v>
          </cell>
          <cell r="F28">
            <v>599156</v>
          </cell>
          <cell r="G28">
            <v>597413</v>
          </cell>
          <cell r="H28">
            <v>597455</v>
          </cell>
        </row>
        <row r="29">
          <cell r="A29">
            <v>33</v>
          </cell>
          <cell r="B29" t="str">
            <v>Hưng Yên</v>
          </cell>
          <cell r="C29">
            <v>347732</v>
          </cell>
          <cell r="D29">
            <v>350989</v>
          </cell>
          <cell r="E29">
            <v>350434</v>
          </cell>
          <cell r="F29">
            <v>377582</v>
          </cell>
          <cell r="G29">
            <v>381442</v>
          </cell>
          <cell r="H29">
            <v>369758</v>
          </cell>
        </row>
        <row r="30">
          <cell r="A30">
            <v>34</v>
          </cell>
          <cell r="B30" t="str">
            <v>Thái Bình</v>
          </cell>
          <cell r="C30">
            <v>594199</v>
          </cell>
          <cell r="D30">
            <v>603823</v>
          </cell>
          <cell r="E30">
            <v>614474</v>
          </cell>
          <cell r="F30">
            <v>606947</v>
          </cell>
          <cell r="G30">
            <v>620642</v>
          </cell>
          <cell r="H30">
            <v>619662</v>
          </cell>
        </row>
        <row r="31">
          <cell r="A31">
            <v>35</v>
          </cell>
          <cell r="B31" t="str">
            <v>Hà Nam</v>
          </cell>
          <cell r="C31">
            <v>248929</v>
          </cell>
          <cell r="D31">
            <v>257290</v>
          </cell>
          <cell r="E31">
            <v>256290</v>
          </cell>
          <cell r="F31">
            <v>269692</v>
          </cell>
          <cell r="G31">
            <v>268234</v>
          </cell>
          <cell r="H31">
            <v>262283</v>
          </cell>
        </row>
        <row r="32">
          <cell r="A32">
            <v>36</v>
          </cell>
          <cell r="B32" t="str">
            <v>Nam Định</v>
          </cell>
          <cell r="C32">
            <v>619642</v>
          </cell>
          <cell r="D32">
            <v>617372</v>
          </cell>
          <cell r="E32">
            <v>611346</v>
          </cell>
          <cell r="F32">
            <v>570901</v>
          </cell>
          <cell r="G32">
            <v>577066</v>
          </cell>
          <cell r="H32">
            <v>554770</v>
          </cell>
        </row>
        <row r="33">
          <cell r="A33">
            <v>37</v>
          </cell>
          <cell r="B33" t="str">
            <v>Ninh Bình</v>
          </cell>
          <cell r="C33">
            <v>295894</v>
          </cell>
          <cell r="D33">
            <v>304246</v>
          </cell>
          <cell r="E33">
            <v>301254</v>
          </cell>
          <cell r="F33">
            <v>296369</v>
          </cell>
          <cell r="G33">
            <v>288667</v>
          </cell>
          <cell r="H33">
            <v>284398</v>
          </cell>
        </row>
        <row r="34">
          <cell r="A34">
            <v>38</v>
          </cell>
          <cell r="B34" t="str">
            <v>Thanh Hoá</v>
          </cell>
          <cell r="C34">
            <v>997132</v>
          </cell>
          <cell r="D34">
            <v>994675</v>
          </cell>
          <cell r="E34">
            <v>992495</v>
          </cell>
          <cell r="F34">
            <v>979951</v>
          </cell>
          <cell r="G34">
            <v>991189</v>
          </cell>
          <cell r="H34">
            <v>1007017</v>
          </cell>
        </row>
        <row r="35">
          <cell r="A35">
            <v>40</v>
          </cell>
          <cell r="B35" t="str">
            <v>Nghệ An</v>
          </cell>
          <cell r="C35">
            <v>818189</v>
          </cell>
          <cell r="D35">
            <v>826683</v>
          </cell>
          <cell r="E35">
            <v>823735</v>
          </cell>
          <cell r="F35">
            <v>848977</v>
          </cell>
          <cell r="G35">
            <v>838953</v>
          </cell>
          <cell r="H35">
            <v>848548</v>
          </cell>
        </row>
        <row r="36">
          <cell r="A36">
            <v>42</v>
          </cell>
          <cell r="B36" t="str">
            <v>Hà Tĩnh</v>
          </cell>
          <cell r="C36">
            <v>387160</v>
          </cell>
          <cell r="D36">
            <v>376362</v>
          </cell>
          <cell r="E36">
            <v>378715</v>
          </cell>
          <cell r="F36">
            <v>378648</v>
          </cell>
          <cell r="G36">
            <v>367543</v>
          </cell>
          <cell r="H36">
            <v>376557</v>
          </cell>
        </row>
        <row r="37">
          <cell r="A37">
            <v>44</v>
          </cell>
          <cell r="B37" t="str">
            <v>Quảng Bình</v>
          </cell>
          <cell r="C37">
            <v>242228</v>
          </cell>
          <cell r="D37">
            <v>244418</v>
          </cell>
          <cell r="E37">
            <v>243628</v>
          </cell>
          <cell r="F37">
            <v>244277</v>
          </cell>
          <cell r="G37">
            <v>241713</v>
          </cell>
          <cell r="H37">
            <v>240838</v>
          </cell>
        </row>
        <row r="38">
          <cell r="A38">
            <v>45</v>
          </cell>
          <cell r="B38" t="str">
            <v>Quảng Trị</v>
          </cell>
          <cell r="C38">
            <v>162939</v>
          </cell>
          <cell r="D38">
            <v>163534</v>
          </cell>
          <cell r="E38">
            <v>167829</v>
          </cell>
          <cell r="F38">
            <v>168495</v>
          </cell>
          <cell r="G38">
            <v>168641</v>
          </cell>
          <cell r="H38">
            <v>165708</v>
          </cell>
        </row>
        <row r="39">
          <cell r="A39">
            <v>46</v>
          </cell>
          <cell r="B39" t="str">
            <v>Thừa Thiên Huế</v>
          </cell>
          <cell r="C39">
            <v>294476</v>
          </cell>
          <cell r="D39">
            <v>298649</v>
          </cell>
          <cell r="E39">
            <v>298776</v>
          </cell>
          <cell r="F39">
            <v>305905</v>
          </cell>
          <cell r="G39">
            <v>292736</v>
          </cell>
          <cell r="H39">
            <v>303506</v>
          </cell>
        </row>
        <row r="40">
          <cell r="A40">
            <v>48</v>
          </cell>
          <cell r="B40" t="str">
            <v>Đà Nẵng</v>
          </cell>
          <cell r="C40">
            <v>260654</v>
          </cell>
          <cell r="D40">
            <v>262227</v>
          </cell>
          <cell r="E40">
            <v>260671</v>
          </cell>
          <cell r="F40">
            <v>300501</v>
          </cell>
          <cell r="G40">
            <v>294113</v>
          </cell>
          <cell r="H40">
            <v>303016</v>
          </cell>
        </row>
        <row r="41">
          <cell r="A41">
            <v>49</v>
          </cell>
          <cell r="B41" t="str">
            <v>Quảng Nam</v>
          </cell>
          <cell r="C41">
            <v>415968</v>
          </cell>
          <cell r="D41">
            <v>419588</v>
          </cell>
          <cell r="E41">
            <v>411850</v>
          </cell>
          <cell r="F41">
            <v>422950</v>
          </cell>
          <cell r="G41">
            <v>410586</v>
          </cell>
          <cell r="H41">
            <v>414734</v>
          </cell>
        </row>
        <row r="42">
          <cell r="A42">
            <v>51</v>
          </cell>
          <cell r="B42" t="str">
            <v>Quảng Ngãi</v>
          </cell>
          <cell r="C42">
            <v>364037</v>
          </cell>
          <cell r="D42">
            <v>359855</v>
          </cell>
          <cell r="E42">
            <v>362970</v>
          </cell>
          <cell r="F42">
            <v>358015</v>
          </cell>
          <cell r="G42">
            <v>354331</v>
          </cell>
          <cell r="H42">
            <v>355923</v>
          </cell>
        </row>
        <row r="43">
          <cell r="A43">
            <v>52</v>
          </cell>
          <cell r="B43" t="str">
            <v>Bình Định</v>
          </cell>
          <cell r="C43">
            <v>439887</v>
          </cell>
          <cell r="D43">
            <v>448786</v>
          </cell>
          <cell r="E43">
            <v>450529</v>
          </cell>
          <cell r="F43">
            <v>434379</v>
          </cell>
          <cell r="G43">
            <v>421187</v>
          </cell>
          <cell r="H43">
            <v>418035</v>
          </cell>
        </row>
        <row r="44">
          <cell r="A44">
            <v>54</v>
          </cell>
          <cell r="B44" t="str">
            <v>Phú Yên</v>
          </cell>
          <cell r="C44">
            <v>261688</v>
          </cell>
          <cell r="D44">
            <v>266440</v>
          </cell>
          <cell r="E44">
            <v>263699</v>
          </cell>
          <cell r="F44">
            <v>260436</v>
          </cell>
          <cell r="G44">
            <v>251661</v>
          </cell>
          <cell r="H44">
            <v>250067</v>
          </cell>
        </row>
        <row r="45">
          <cell r="A45">
            <v>56</v>
          </cell>
          <cell r="B45" t="str">
            <v>Khánh Hoà</v>
          </cell>
          <cell r="C45">
            <v>310925</v>
          </cell>
          <cell r="D45">
            <v>318847</v>
          </cell>
          <cell r="E45">
            <v>320059</v>
          </cell>
          <cell r="F45">
            <v>332697</v>
          </cell>
          <cell r="G45">
            <v>332602</v>
          </cell>
          <cell r="H45">
            <v>332355</v>
          </cell>
        </row>
        <row r="46">
          <cell r="A46">
            <v>58</v>
          </cell>
          <cell r="B46" t="str">
            <v>Ninh Thuận</v>
          </cell>
          <cell r="C46">
            <v>155804</v>
          </cell>
          <cell r="D46">
            <v>155402</v>
          </cell>
          <cell r="E46">
            <v>161215</v>
          </cell>
          <cell r="F46">
            <v>161013</v>
          </cell>
          <cell r="G46">
            <v>159041</v>
          </cell>
          <cell r="H46">
            <v>163744</v>
          </cell>
        </row>
        <row r="47">
          <cell r="A47">
            <v>60</v>
          </cell>
          <cell r="B47" t="str">
            <v>Bình Thuận</v>
          </cell>
          <cell r="C47">
            <v>321761</v>
          </cell>
          <cell r="D47">
            <v>324998</v>
          </cell>
          <cell r="E47">
            <v>328282</v>
          </cell>
          <cell r="F47">
            <v>329086</v>
          </cell>
          <cell r="G47">
            <v>321567</v>
          </cell>
          <cell r="H47">
            <v>322829</v>
          </cell>
        </row>
        <row r="48">
          <cell r="A48">
            <v>62</v>
          </cell>
          <cell r="B48" t="str">
            <v>Kon Tum</v>
          </cell>
          <cell r="C48">
            <v>124401</v>
          </cell>
          <cell r="D48">
            <v>132850</v>
          </cell>
          <cell r="E48">
            <v>136738</v>
          </cell>
          <cell r="F48">
            <v>137699</v>
          </cell>
          <cell r="G48">
            <v>142469</v>
          </cell>
          <cell r="H48">
            <v>145429</v>
          </cell>
        </row>
        <row r="49">
          <cell r="A49">
            <v>64</v>
          </cell>
          <cell r="B49" t="str">
            <v>Gia Lai</v>
          </cell>
          <cell r="C49">
            <v>340720</v>
          </cell>
          <cell r="D49">
            <v>347121</v>
          </cell>
          <cell r="E49">
            <v>354438</v>
          </cell>
          <cell r="F49">
            <v>374512</v>
          </cell>
          <cell r="G49">
            <v>371534</v>
          </cell>
          <cell r="H49">
            <v>384852</v>
          </cell>
        </row>
        <row r="50">
          <cell r="A50">
            <v>66</v>
          </cell>
          <cell r="B50" t="str">
            <v>Đắk Lắk</v>
          </cell>
          <cell r="C50">
            <v>470897</v>
          </cell>
          <cell r="D50">
            <v>482471</v>
          </cell>
          <cell r="E50">
            <v>486456</v>
          </cell>
          <cell r="F50">
            <v>487951</v>
          </cell>
          <cell r="G50">
            <v>474877</v>
          </cell>
          <cell r="H50">
            <v>513450</v>
          </cell>
        </row>
        <row r="51">
          <cell r="A51">
            <v>67</v>
          </cell>
          <cell r="B51" t="str">
            <v>Đắk Nông</v>
          </cell>
          <cell r="C51">
            <v>151782</v>
          </cell>
          <cell r="D51">
            <v>158277</v>
          </cell>
          <cell r="E51">
            <v>162753</v>
          </cell>
          <cell r="F51">
            <v>162061</v>
          </cell>
          <cell r="G51">
            <v>166694</v>
          </cell>
          <cell r="H51">
            <v>173394</v>
          </cell>
        </row>
        <row r="52">
          <cell r="A52">
            <v>68</v>
          </cell>
          <cell r="B52" t="str">
            <v>Lâm Đồng</v>
          </cell>
          <cell r="C52">
            <v>344951</v>
          </cell>
          <cell r="D52">
            <v>354729</v>
          </cell>
          <cell r="E52">
            <v>358028</v>
          </cell>
          <cell r="F52">
            <v>358753</v>
          </cell>
          <cell r="G52">
            <v>348206</v>
          </cell>
          <cell r="H52">
            <v>363952</v>
          </cell>
        </row>
        <row r="53">
          <cell r="A53">
            <v>70</v>
          </cell>
          <cell r="B53" t="str">
            <v>Bình Phước</v>
          </cell>
          <cell r="C53">
            <v>261186</v>
          </cell>
          <cell r="D53">
            <v>262023</v>
          </cell>
          <cell r="E53">
            <v>266859</v>
          </cell>
          <cell r="F53">
            <v>273399</v>
          </cell>
          <cell r="G53">
            <v>279393</v>
          </cell>
          <cell r="H53">
            <v>278895</v>
          </cell>
        </row>
        <row r="54">
          <cell r="A54">
            <v>72</v>
          </cell>
          <cell r="B54" t="str">
            <v>Tây Ninh</v>
          </cell>
          <cell r="C54">
            <v>304962</v>
          </cell>
          <cell r="D54">
            <v>312617</v>
          </cell>
          <cell r="E54">
            <v>315482</v>
          </cell>
          <cell r="F54">
            <v>334827</v>
          </cell>
          <cell r="G54">
            <v>331476</v>
          </cell>
          <cell r="H54">
            <v>329898</v>
          </cell>
        </row>
        <row r="55">
          <cell r="A55">
            <v>74</v>
          </cell>
          <cell r="B55" t="str">
            <v>Bình Dương</v>
          </cell>
          <cell r="C55">
            <v>638183</v>
          </cell>
          <cell r="D55">
            <v>664288</v>
          </cell>
          <cell r="E55">
            <v>687853</v>
          </cell>
          <cell r="F55">
            <v>832087</v>
          </cell>
          <cell r="G55">
            <v>883403</v>
          </cell>
          <cell r="H55">
            <v>943496</v>
          </cell>
        </row>
        <row r="56">
          <cell r="A56">
            <v>75</v>
          </cell>
          <cell r="B56" t="str">
            <v>Đồng Nai</v>
          </cell>
          <cell r="C56">
            <v>800083</v>
          </cell>
          <cell r="D56">
            <v>801546</v>
          </cell>
          <cell r="E56">
            <v>817998</v>
          </cell>
          <cell r="F56">
            <v>871133</v>
          </cell>
          <cell r="G56">
            <v>902193</v>
          </cell>
          <cell r="H56">
            <v>908105</v>
          </cell>
        </row>
        <row r="57">
          <cell r="A57">
            <v>77</v>
          </cell>
          <cell r="B57" t="str">
            <v>Bà Rịa-Vũng Tàu(***)</v>
          </cell>
          <cell r="C57">
            <v>310526</v>
          </cell>
          <cell r="D57">
            <v>307621</v>
          </cell>
          <cell r="E57">
            <v>310113</v>
          </cell>
          <cell r="F57">
            <v>321007</v>
          </cell>
          <cell r="G57">
            <v>324843</v>
          </cell>
          <cell r="H57">
            <v>327747</v>
          </cell>
        </row>
        <row r="58">
          <cell r="A58">
            <v>79</v>
          </cell>
          <cell r="B58" t="str">
            <v>TP Hồ Chí Minh</v>
          </cell>
          <cell r="C58">
            <v>2236736</v>
          </cell>
          <cell r="D58">
            <v>2284145</v>
          </cell>
          <cell r="E58">
            <v>2318711</v>
          </cell>
          <cell r="F58">
            <v>2558914</v>
          </cell>
          <cell r="G58">
            <v>2627181</v>
          </cell>
          <cell r="H58">
            <v>2744466</v>
          </cell>
        </row>
        <row r="59">
          <cell r="A59">
            <v>80</v>
          </cell>
          <cell r="B59" t="str">
            <v>Long An</v>
          </cell>
          <cell r="C59">
            <v>407718</v>
          </cell>
          <cell r="D59">
            <v>408351</v>
          </cell>
          <cell r="E59">
            <v>404729</v>
          </cell>
          <cell r="F59">
            <v>478494</v>
          </cell>
          <cell r="G59">
            <v>476387</v>
          </cell>
          <cell r="H59">
            <v>482618</v>
          </cell>
        </row>
        <row r="60">
          <cell r="A60">
            <v>82</v>
          </cell>
          <cell r="B60" t="str">
            <v>Tiền Giang</v>
          </cell>
          <cell r="C60">
            <v>490715</v>
          </cell>
          <cell r="D60">
            <v>500857</v>
          </cell>
          <cell r="E60">
            <v>506590</v>
          </cell>
          <cell r="F60">
            <v>501766</v>
          </cell>
          <cell r="G60">
            <v>494366</v>
          </cell>
          <cell r="H60">
            <v>493275</v>
          </cell>
        </row>
        <row r="61">
          <cell r="A61">
            <v>83</v>
          </cell>
          <cell r="B61" t="str">
            <v>Bến Tre</v>
          </cell>
          <cell r="C61">
            <v>386318</v>
          </cell>
          <cell r="D61">
            <v>386922</v>
          </cell>
          <cell r="E61">
            <v>390632</v>
          </cell>
          <cell r="F61">
            <v>402860</v>
          </cell>
          <cell r="G61">
            <v>387567</v>
          </cell>
          <cell r="H61">
            <v>397202</v>
          </cell>
        </row>
        <row r="62">
          <cell r="A62">
            <v>84</v>
          </cell>
          <cell r="B62" t="str">
            <v>Trà Vinh</v>
          </cell>
          <cell r="C62">
            <v>285234</v>
          </cell>
          <cell r="D62">
            <v>290972</v>
          </cell>
          <cell r="E62">
            <v>287200</v>
          </cell>
          <cell r="F62">
            <v>284675</v>
          </cell>
          <cell r="G62">
            <v>275751</v>
          </cell>
          <cell r="H62">
            <v>280598</v>
          </cell>
        </row>
        <row r="63">
          <cell r="A63">
            <v>86</v>
          </cell>
          <cell r="B63" t="str">
            <v>Vĩnh Long</v>
          </cell>
          <cell r="C63">
            <v>303265</v>
          </cell>
          <cell r="D63">
            <v>304060</v>
          </cell>
          <cell r="E63">
            <v>303373</v>
          </cell>
          <cell r="F63">
            <v>298391</v>
          </cell>
          <cell r="G63">
            <v>293207</v>
          </cell>
          <cell r="H63">
            <v>291237</v>
          </cell>
        </row>
        <row r="64">
          <cell r="A64">
            <v>87</v>
          </cell>
          <cell r="B64" t="str">
            <v>Đồng Tháp</v>
          </cell>
          <cell r="C64">
            <v>451980</v>
          </cell>
          <cell r="D64">
            <v>460917</v>
          </cell>
          <cell r="E64">
            <v>459804</v>
          </cell>
          <cell r="F64">
            <v>446228</v>
          </cell>
          <cell r="G64">
            <v>428056</v>
          </cell>
          <cell r="H64">
            <v>429113</v>
          </cell>
        </row>
        <row r="65">
          <cell r="A65">
            <v>89</v>
          </cell>
          <cell r="B65" t="str">
            <v>An Giang</v>
          </cell>
          <cell r="C65">
            <v>581485</v>
          </cell>
          <cell r="D65">
            <v>592089</v>
          </cell>
          <cell r="E65">
            <v>590158</v>
          </cell>
          <cell r="F65">
            <v>525656</v>
          </cell>
          <cell r="G65">
            <v>515826</v>
          </cell>
          <cell r="H65">
            <v>520082</v>
          </cell>
        </row>
        <row r="66">
          <cell r="A66">
            <v>91</v>
          </cell>
          <cell r="B66" t="str">
            <v>Kiên Giang</v>
          </cell>
          <cell r="C66">
            <v>465880</v>
          </cell>
          <cell r="D66">
            <v>469613</v>
          </cell>
          <cell r="E66">
            <v>480469</v>
          </cell>
          <cell r="F66">
            <v>456773</v>
          </cell>
          <cell r="G66">
            <v>457090</v>
          </cell>
          <cell r="H66">
            <v>471379</v>
          </cell>
        </row>
        <row r="67">
          <cell r="A67">
            <v>92</v>
          </cell>
          <cell r="B67" t="str">
            <v>Cần Thơ</v>
          </cell>
          <cell r="C67">
            <v>334774</v>
          </cell>
          <cell r="D67">
            <v>344905</v>
          </cell>
          <cell r="E67">
            <v>346609</v>
          </cell>
          <cell r="F67">
            <v>359375</v>
          </cell>
          <cell r="G67">
            <v>356567</v>
          </cell>
          <cell r="H67">
            <v>366304</v>
          </cell>
        </row>
        <row r="68">
          <cell r="A68">
            <v>93</v>
          </cell>
          <cell r="B68" t="str">
            <v>Hậu Giang</v>
          </cell>
          <cell r="C68">
            <v>203129</v>
          </cell>
          <cell r="D68">
            <v>211261</v>
          </cell>
          <cell r="E68">
            <v>208396</v>
          </cell>
          <cell r="F68">
            <v>201970</v>
          </cell>
          <cell r="G68">
            <v>195064</v>
          </cell>
          <cell r="H68">
            <v>197026</v>
          </cell>
        </row>
        <row r="69">
          <cell r="A69">
            <v>94</v>
          </cell>
          <cell r="B69" t="str">
            <v>Sóc Trăng</v>
          </cell>
          <cell r="C69">
            <v>338562</v>
          </cell>
          <cell r="D69">
            <v>351675</v>
          </cell>
          <cell r="E69">
            <v>346186</v>
          </cell>
          <cell r="F69">
            <v>319732</v>
          </cell>
          <cell r="G69">
            <v>318674</v>
          </cell>
          <cell r="H69">
            <v>322200</v>
          </cell>
        </row>
        <row r="70">
          <cell r="A70">
            <v>95</v>
          </cell>
          <cell r="B70" t="str">
            <v>Bạc Liêu</v>
          </cell>
          <cell r="C70">
            <v>216643</v>
          </cell>
          <cell r="D70">
            <v>233695</v>
          </cell>
          <cell r="E70">
            <v>227235</v>
          </cell>
          <cell r="F70">
            <v>223024</v>
          </cell>
          <cell r="G70">
            <v>228456</v>
          </cell>
          <cell r="H70">
            <v>229706</v>
          </cell>
        </row>
        <row r="71">
          <cell r="A71">
            <v>96</v>
          </cell>
          <cell r="B71" t="str">
            <v>Cà Mau</v>
          </cell>
          <cell r="C71">
            <v>304140</v>
          </cell>
          <cell r="D71">
            <v>311689</v>
          </cell>
          <cell r="E71">
            <v>313725</v>
          </cell>
          <cell r="F71">
            <v>305290</v>
          </cell>
          <cell r="G71">
            <v>295459</v>
          </cell>
          <cell r="H71">
            <v>308411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75.3</v>
          </cell>
          <cell r="D9">
            <v>75.400000000000006</v>
          </cell>
          <cell r="E9">
            <v>75.400000000000006</v>
          </cell>
          <cell r="F9">
            <v>75.5</v>
          </cell>
          <cell r="G9">
            <v>75.5</v>
          </cell>
          <cell r="H9">
            <v>75.7</v>
          </cell>
          <cell r="I9">
            <v>76</v>
          </cell>
          <cell r="J9">
            <v>76.099999999999994</v>
          </cell>
        </row>
        <row r="10">
          <cell r="A10" t="str">
            <v>02</v>
          </cell>
          <cell r="B10" t="str">
            <v>Hà Giang</v>
          </cell>
          <cell r="C10">
            <v>67.5</v>
          </cell>
          <cell r="D10">
            <v>67.7</v>
          </cell>
          <cell r="E10">
            <v>67.7</v>
          </cell>
          <cell r="F10">
            <v>67.900000000000006</v>
          </cell>
          <cell r="G10">
            <v>68.400000000000006</v>
          </cell>
          <cell r="H10">
            <v>68.8</v>
          </cell>
          <cell r="I10">
            <v>68.8</v>
          </cell>
          <cell r="J10">
            <v>71.5</v>
          </cell>
        </row>
        <row r="11">
          <cell r="A11" t="str">
            <v>04</v>
          </cell>
          <cell r="B11" t="str">
            <v>Cao Bằng</v>
          </cell>
          <cell r="C11">
            <v>70.3</v>
          </cell>
          <cell r="D11">
            <v>70.400000000000006</v>
          </cell>
          <cell r="E11">
            <v>70.5</v>
          </cell>
          <cell r="F11">
            <v>70.599999999999994</v>
          </cell>
          <cell r="G11">
            <v>70.599999999999994</v>
          </cell>
          <cell r="H11">
            <v>71.400000000000006</v>
          </cell>
          <cell r="I11">
            <v>71.400000000000006</v>
          </cell>
          <cell r="J11">
            <v>72.3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73</v>
          </cell>
        </row>
        <row r="14">
          <cell r="A14">
            <v>10</v>
          </cell>
          <cell r="B14" t="str">
            <v>Lào Cai</v>
          </cell>
          <cell r="C14">
            <v>68.8</v>
          </cell>
          <cell r="D14">
            <v>69</v>
          </cell>
          <cell r="E14">
            <v>69</v>
          </cell>
          <cell r="F14">
            <v>69.2</v>
          </cell>
          <cell r="G14">
            <v>69.3</v>
          </cell>
          <cell r="H14">
            <v>70</v>
          </cell>
          <cell r="I14">
            <v>70</v>
          </cell>
          <cell r="J14">
            <v>71.3</v>
          </cell>
        </row>
        <row r="15">
          <cell r="A15">
            <v>11</v>
          </cell>
          <cell r="B15" t="str">
            <v>Điện Biên</v>
          </cell>
          <cell r="C15">
            <v>67.5</v>
          </cell>
          <cell r="D15">
            <v>67.599999999999994</v>
          </cell>
          <cell r="E15">
            <v>67.7</v>
          </cell>
          <cell r="F15">
            <v>67.8</v>
          </cell>
          <cell r="G15">
            <v>68.400000000000006</v>
          </cell>
          <cell r="H15">
            <v>68.400000000000006</v>
          </cell>
          <cell r="I15">
            <v>68.400000000000006</v>
          </cell>
          <cell r="J15">
            <v>69.900000000000006</v>
          </cell>
        </row>
        <row r="16">
          <cell r="A16">
            <v>12</v>
          </cell>
          <cell r="B16" t="str">
            <v>Lai Châu</v>
          </cell>
          <cell r="C16">
            <v>65.400000000000006</v>
          </cell>
          <cell r="D16">
            <v>65.599999999999994</v>
          </cell>
          <cell r="E16">
            <v>65.7</v>
          </cell>
          <cell r="F16">
            <v>65.8</v>
          </cell>
          <cell r="G16">
            <v>66.7</v>
          </cell>
          <cell r="H16">
            <v>67.900000000000006</v>
          </cell>
          <cell r="I16">
            <v>67.900000000000006</v>
          </cell>
          <cell r="J16">
            <v>69.8</v>
          </cell>
        </row>
        <row r="17">
          <cell r="A17">
            <v>14</v>
          </cell>
          <cell r="B17" t="str">
            <v>Sơn La</v>
          </cell>
          <cell r="C17">
            <v>70.599999999999994</v>
          </cell>
          <cell r="D17">
            <v>70.7</v>
          </cell>
          <cell r="E17">
            <v>70.8</v>
          </cell>
          <cell r="F17">
            <v>70.900000000000006</v>
          </cell>
          <cell r="G17">
            <v>71</v>
          </cell>
          <cell r="H17">
            <v>70.900000000000006</v>
          </cell>
          <cell r="I17">
            <v>70.900000000000006</v>
          </cell>
          <cell r="J17">
            <v>73.400000000000006</v>
          </cell>
        </row>
        <row r="18">
          <cell r="A18">
            <v>15</v>
          </cell>
          <cell r="B18" t="str">
            <v>Yên Bái</v>
          </cell>
          <cell r="C18">
            <v>69.400000000000006</v>
          </cell>
          <cell r="D18">
            <v>69.5</v>
          </cell>
          <cell r="E18">
            <v>69.5</v>
          </cell>
          <cell r="F18">
            <v>69.7</v>
          </cell>
          <cell r="G18">
            <v>69.599999999999994</v>
          </cell>
          <cell r="H18">
            <v>69.7</v>
          </cell>
          <cell r="I18">
            <v>69.7</v>
          </cell>
          <cell r="J18">
            <v>71.7</v>
          </cell>
        </row>
        <row r="19">
          <cell r="A19">
            <v>17</v>
          </cell>
          <cell r="B19" t="str">
            <v>Hoà Bình</v>
          </cell>
          <cell r="C19">
            <v>72.400000000000006</v>
          </cell>
          <cell r="D19">
            <v>72.5</v>
          </cell>
          <cell r="E19">
            <v>72.599999999999994</v>
          </cell>
          <cell r="F19">
            <v>72.7</v>
          </cell>
          <cell r="G19">
            <v>72.599999999999994</v>
          </cell>
          <cell r="H19">
            <v>72.7</v>
          </cell>
          <cell r="I19">
            <v>72.7</v>
          </cell>
          <cell r="J19">
            <v>73.400000000000006</v>
          </cell>
        </row>
        <row r="20">
          <cell r="A20">
            <v>19</v>
          </cell>
          <cell r="B20" t="str">
            <v>Thái Nguyên</v>
          </cell>
          <cell r="C20">
            <v>73.400000000000006</v>
          </cell>
          <cell r="D20">
            <v>73.5</v>
          </cell>
          <cell r="E20">
            <v>73.5</v>
          </cell>
          <cell r="F20">
            <v>73.599999999999994</v>
          </cell>
          <cell r="G20">
            <v>73.7</v>
          </cell>
          <cell r="H20">
            <v>73.7</v>
          </cell>
          <cell r="I20">
            <v>73.7</v>
          </cell>
          <cell r="J20">
            <v>74.5</v>
          </cell>
        </row>
        <row r="21">
          <cell r="A21">
            <v>20</v>
          </cell>
          <cell r="B21" t="str">
            <v>Lạng Sơn</v>
          </cell>
          <cell r="C21">
            <v>72.099999999999994</v>
          </cell>
          <cell r="D21">
            <v>72.2</v>
          </cell>
          <cell r="E21">
            <v>72.2</v>
          </cell>
          <cell r="F21">
            <v>72.3</v>
          </cell>
          <cell r="G21">
            <v>72.400000000000006</v>
          </cell>
          <cell r="H21">
            <v>72.5</v>
          </cell>
          <cell r="I21">
            <v>72.5</v>
          </cell>
          <cell r="J21">
            <v>73.099999999999994</v>
          </cell>
        </row>
        <row r="22">
          <cell r="A22">
            <v>22</v>
          </cell>
          <cell r="B22" t="str">
            <v>Quảng Ninh</v>
          </cell>
          <cell r="C22">
            <v>73.3</v>
          </cell>
          <cell r="D22">
            <v>73.400000000000006</v>
          </cell>
          <cell r="E22">
            <v>73.400000000000006</v>
          </cell>
          <cell r="F22">
            <v>73.5</v>
          </cell>
          <cell r="G22">
            <v>73.400000000000006</v>
          </cell>
          <cell r="H22">
            <v>73.5</v>
          </cell>
          <cell r="I22">
            <v>73.5</v>
          </cell>
          <cell r="J22">
            <v>74.099999999999994</v>
          </cell>
        </row>
        <row r="23">
          <cell r="A23">
            <v>24</v>
          </cell>
          <cell r="B23" t="str">
            <v>Bắc Giang</v>
          </cell>
          <cell r="C23">
            <v>73.2</v>
          </cell>
          <cell r="D23">
            <v>73.3</v>
          </cell>
          <cell r="E23">
            <v>73.3</v>
          </cell>
          <cell r="F23">
            <v>73.400000000000006</v>
          </cell>
          <cell r="G23">
            <v>73.5</v>
          </cell>
          <cell r="H23">
            <v>73.400000000000006</v>
          </cell>
          <cell r="I23">
            <v>73.400000000000006</v>
          </cell>
          <cell r="J23">
            <v>74.400000000000006</v>
          </cell>
        </row>
        <row r="24">
          <cell r="A24">
            <v>25</v>
          </cell>
          <cell r="B24" t="str">
            <v>Phú Thọ</v>
          </cell>
          <cell r="C24">
            <v>73.3</v>
          </cell>
          <cell r="D24">
            <v>73.400000000000006</v>
          </cell>
          <cell r="E24">
            <v>73.400000000000006</v>
          </cell>
          <cell r="F24">
            <v>73.5</v>
          </cell>
          <cell r="G24">
            <v>73.400000000000006</v>
          </cell>
          <cell r="H24">
            <v>73.5</v>
          </cell>
          <cell r="I24">
            <v>73.5</v>
          </cell>
          <cell r="J24">
            <v>74.400000000000006</v>
          </cell>
        </row>
        <row r="25">
          <cell r="A25">
            <v>26</v>
          </cell>
          <cell r="B25" t="str">
            <v>Vĩnh Phúc</v>
          </cell>
          <cell r="C25">
            <v>74.099999999999994</v>
          </cell>
          <cell r="D25">
            <v>74.2</v>
          </cell>
          <cell r="E25">
            <v>74.2</v>
          </cell>
          <cell r="F25">
            <v>74.3</v>
          </cell>
          <cell r="G25">
            <v>74</v>
          </cell>
          <cell r="H25">
            <v>74.400000000000006</v>
          </cell>
          <cell r="I25">
            <v>74.400000000000006</v>
          </cell>
          <cell r="J25">
            <v>74.900000000000006</v>
          </cell>
        </row>
        <row r="26">
          <cell r="A26">
            <v>27</v>
          </cell>
          <cell r="B26" t="str">
            <v>Bắc Ninh</v>
          </cell>
          <cell r="C26">
            <v>74.099999999999994</v>
          </cell>
          <cell r="D26">
            <v>74.2</v>
          </cell>
          <cell r="E26">
            <v>74.3</v>
          </cell>
          <cell r="F26">
            <v>74.3</v>
          </cell>
          <cell r="G26">
            <v>74.099999999999994</v>
          </cell>
          <cell r="H26">
            <v>74.3</v>
          </cell>
          <cell r="I26">
            <v>74.3</v>
          </cell>
          <cell r="J26">
            <v>75</v>
          </cell>
        </row>
        <row r="27">
          <cell r="A27">
            <v>30</v>
          </cell>
          <cell r="B27" t="str">
            <v>Hải Dương</v>
          </cell>
          <cell r="C27">
            <v>74.599999999999994</v>
          </cell>
          <cell r="D27">
            <v>74.7</v>
          </cell>
          <cell r="E27">
            <v>74.7</v>
          </cell>
          <cell r="F27">
            <v>74.8</v>
          </cell>
          <cell r="G27">
            <v>74.8</v>
          </cell>
          <cell r="H27">
            <v>74.8</v>
          </cell>
          <cell r="I27">
            <v>74.8</v>
          </cell>
          <cell r="J27">
            <v>75</v>
          </cell>
        </row>
        <row r="28">
          <cell r="A28">
            <v>31</v>
          </cell>
          <cell r="B28" t="str">
            <v>Hải Phòng</v>
          </cell>
          <cell r="C28">
            <v>74.5</v>
          </cell>
          <cell r="D28">
            <v>74.599999999999994</v>
          </cell>
          <cell r="E28">
            <v>74.599999999999994</v>
          </cell>
          <cell r="F28">
            <v>74.7</v>
          </cell>
          <cell r="G28">
            <v>74.5</v>
          </cell>
          <cell r="H28">
            <v>74.7</v>
          </cell>
          <cell r="I28">
            <v>74.7</v>
          </cell>
          <cell r="J28">
            <v>75</v>
          </cell>
        </row>
        <row r="29">
          <cell r="A29">
            <v>33</v>
          </cell>
          <cell r="B29" t="str">
            <v>Hưng Yên</v>
          </cell>
          <cell r="C29">
            <v>74.400000000000006</v>
          </cell>
          <cell r="D29">
            <v>74.5</v>
          </cell>
          <cell r="E29">
            <v>74.5</v>
          </cell>
          <cell r="F29">
            <v>74.599999999999994</v>
          </cell>
          <cell r="G29">
            <v>74.7</v>
          </cell>
          <cell r="H29">
            <v>74.7</v>
          </cell>
          <cell r="I29">
            <v>74.7</v>
          </cell>
          <cell r="J29">
            <v>75</v>
          </cell>
        </row>
        <row r="30">
          <cell r="A30">
            <v>34</v>
          </cell>
          <cell r="B30" t="str">
            <v>Thái Bình</v>
          </cell>
          <cell r="C30">
            <v>75.2</v>
          </cell>
          <cell r="D30">
            <v>75.3</v>
          </cell>
          <cell r="E30">
            <v>75.3</v>
          </cell>
          <cell r="F30">
            <v>75.400000000000006</v>
          </cell>
          <cell r="G30">
            <v>74.900000000000006</v>
          </cell>
          <cell r="H30">
            <v>75.400000000000006</v>
          </cell>
          <cell r="I30">
            <v>75.400000000000006</v>
          </cell>
          <cell r="J30">
            <v>75.400000000000006</v>
          </cell>
        </row>
        <row r="31">
          <cell r="A31">
            <v>35</v>
          </cell>
          <cell r="B31" t="str">
            <v>Hà Nam</v>
          </cell>
          <cell r="C31">
            <v>74.5</v>
          </cell>
          <cell r="D31">
            <v>74.599999999999994</v>
          </cell>
          <cell r="E31">
            <v>74.599999999999994</v>
          </cell>
          <cell r="F31">
            <v>74.7</v>
          </cell>
          <cell r="G31">
            <v>74.7</v>
          </cell>
          <cell r="H31">
            <v>74.7</v>
          </cell>
          <cell r="I31">
            <v>74.7</v>
          </cell>
          <cell r="J31">
            <v>75</v>
          </cell>
        </row>
        <row r="32">
          <cell r="A32">
            <v>36</v>
          </cell>
          <cell r="B32" t="str">
            <v>Nam Định</v>
          </cell>
          <cell r="C32">
            <v>74.3</v>
          </cell>
          <cell r="D32">
            <v>74.3</v>
          </cell>
          <cell r="E32">
            <v>74.400000000000006</v>
          </cell>
          <cell r="F32">
            <v>74.5</v>
          </cell>
          <cell r="G32">
            <v>74.5</v>
          </cell>
          <cell r="H32">
            <v>74.5</v>
          </cell>
          <cell r="I32">
            <v>74.5</v>
          </cell>
          <cell r="J32">
            <v>74.900000000000006</v>
          </cell>
        </row>
        <row r="33">
          <cell r="A33">
            <v>37</v>
          </cell>
          <cell r="B33" t="str">
            <v>Ninh Bình</v>
          </cell>
          <cell r="C33">
            <v>73.599999999999994</v>
          </cell>
          <cell r="D33">
            <v>73.599999999999994</v>
          </cell>
          <cell r="E33">
            <v>73.7</v>
          </cell>
          <cell r="F33">
            <v>73.8</v>
          </cell>
          <cell r="G33">
            <v>74.2</v>
          </cell>
          <cell r="H33">
            <v>74.3</v>
          </cell>
          <cell r="I33">
            <v>74.3</v>
          </cell>
          <cell r="J33">
            <v>74.400000000000006</v>
          </cell>
        </row>
        <row r="34">
          <cell r="A34">
            <v>38</v>
          </cell>
          <cell r="B34" t="str">
            <v>Thanh Hoá</v>
          </cell>
          <cell r="C34">
            <v>73.099999999999994</v>
          </cell>
          <cell r="D34">
            <v>73.2</v>
          </cell>
          <cell r="E34">
            <v>73.3</v>
          </cell>
          <cell r="F34">
            <v>73.3</v>
          </cell>
          <cell r="G34">
            <v>73.400000000000006</v>
          </cell>
          <cell r="H34">
            <v>73.400000000000006</v>
          </cell>
          <cell r="I34">
            <v>73.400000000000006</v>
          </cell>
          <cell r="J34">
            <v>73.8</v>
          </cell>
        </row>
        <row r="35">
          <cell r="A35">
            <v>40</v>
          </cell>
          <cell r="B35" t="str">
            <v>Nghệ An</v>
          </cell>
          <cell r="C35">
            <v>72.599999999999994</v>
          </cell>
          <cell r="D35">
            <v>72.7</v>
          </cell>
          <cell r="E35">
            <v>72.8</v>
          </cell>
          <cell r="F35">
            <v>72.900000000000006</v>
          </cell>
          <cell r="G35">
            <v>73.099999999999994</v>
          </cell>
          <cell r="H35">
            <v>73.099999999999994</v>
          </cell>
          <cell r="I35">
            <v>73.099999999999994</v>
          </cell>
          <cell r="J35">
            <v>73.5</v>
          </cell>
        </row>
        <row r="36">
          <cell r="A36">
            <v>42</v>
          </cell>
          <cell r="B36" t="str">
            <v>Hà Tĩnh</v>
          </cell>
          <cell r="C36">
            <v>72.5</v>
          </cell>
          <cell r="D36">
            <v>72.599999999999994</v>
          </cell>
          <cell r="E36">
            <v>72.7</v>
          </cell>
          <cell r="F36">
            <v>72.8</v>
          </cell>
          <cell r="G36">
            <v>72.599999999999994</v>
          </cell>
          <cell r="H36">
            <v>72.8</v>
          </cell>
          <cell r="I36">
            <v>72.8</v>
          </cell>
          <cell r="J36">
            <v>73.400000000000006</v>
          </cell>
        </row>
        <row r="37">
          <cell r="A37">
            <v>44</v>
          </cell>
          <cell r="B37" t="str">
            <v>Quảng Bình</v>
          </cell>
          <cell r="C37">
            <v>72.599999999999994</v>
          </cell>
          <cell r="D37">
            <v>72.7</v>
          </cell>
          <cell r="E37">
            <v>72.7</v>
          </cell>
          <cell r="F37">
            <v>72.099999999999994</v>
          </cell>
          <cell r="G37">
            <v>72.7</v>
          </cell>
          <cell r="H37">
            <v>72.900000000000006</v>
          </cell>
          <cell r="I37">
            <v>72.900000000000006</v>
          </cell>
          <cell r="J37">
            <v>73.099999999999994</v>
          </cell>
        </row>
        <row r="38">
          <cell r="A38">
            <v>45</v>
          </cell>
          <cell r="B38" t="str">
            <v>Quảng Trị</v>
          </cell>
          <cell r="C38">
            <v>68</v>
          </cell>
          <cell r="D38">
            <v>68.099999999999994</v>
          </cell>
          <cell r="E38">
            <v>68.2</v>
          </cell>
          <cell r="F38">
            <v>68.3</v>
          </cell>
          <cell r="G38">
            <v>68.2</v>
          </cell>
          <cell r="H38">
            <v>69.3</v>
          </cell>
          <cell r="I38">
            <v>69.3</v>
          </cell>
          <cell r="J38">
            <v>71.400000000000006</v>
          </cell>
        </row>
        <row r="39">
          <cell r="A39">
            <v>46</v>
          </cell>
          <cell r="B39" t="str">
            <v>Thừa Thiên Huế</v>
          </cell>
          <cell r="C39">
            <v>71.5</v>
          </cell>
          <cell r="D39">
            <v>71.599999999999994</v>
          </cell>
          <cell r="E39">
            <v>71.7</v>
          </cell>
          <cell r="F39">
            <v>71.8</v>
          </cell>
          <cell r="G39">
            <v>71.7</v>
          </cell>
          <cell r="H39">
            <v>72.3</v>
          </cell>
          <cell r="I39">
            <v>72.3</v>
          </cell>
          <cell r="J39">
            <v>73.2</v>
          </cell>
        </row>
        <row r="40">
          <cell r="A40">
            <v>48</v>
          </cell>
          <cell r="B40" t="str">
            <v>Đà Nẵng</v>
          </cell>
          <cell r="C40">
            <v>75.900000000000006</v>
          </cell>
          <cell r="D40">
            <v>76</v>
          </cell>
          <cell r="E40">
            <v>76</v>
          </cell>
          <cell r="F40">
            <v>76.099999999999994</v>
          </cell>
          <cell r="G40">
            <v>76.3</v>
          </cell>
          <cell r="H40">
            <v>76.2</v>
          </cell>
          <cell r="I40">
            <v>76.2</v>
          </cell>
          <cell r="J40">
            <v>76.3</v>
          </cell>
        </row>
        <row r="41">
          <cell r="A41">
            <v>49</v>
          </cell>
          <cell r="B41" t="str">
            <v>Quảng Nam</v>
          </cell>
          <cell r="C41">
            <v>72.7</v>
          </cell>
          <cell r="D41">
            <v>72.8</v>
          </cell>
          <cell r="E41">
            <v>72.8</v>
          </cell>
          <cell r="F41">
            <v>72.900000000000006</v>
          </cell>
          <cell r="G41">
            <v>73</v>
          </cell>
          <cell r="H41">
            <v>73.099999999999994</v>
          </cell>
          <cell r="I41">
            <v>73.099999999999994</v>
          </cell>
          <cell r="J41">
            <v>73.5</v>
          </cell>
        </row>
        <row r="42">
          <cell r="A42">
            <v>51</v>
          </cell>
          <cell r="B42" t="str">
            <v>Quảng Ngãi</v>
          </cell>
          <cell r="C42">
            <v>72.3</v>
          </cell>
          <cell r="D42">
            <v>72.400000000000006</v>
          </cell>
          <cell r="E42">
            <v>72.400000000000006</v>
          </cell>
          <cell r="F42">
            <v>72.5</v>
          </cell>
          <cell r="G42">
            <v>72.400000000000006</v>
          </cell>
          <cell r="H42">
            <v>72.5</v>
          </cell>
          <cell r="I42">
            <v>72.5</v>
          </cell>
          <cell r="J42">
            <v>73.2</v>
          </cell>
        </row>
        <row r="43">
          <cell r="A43">
            <v>52</v>
          </cell>
          <cell r="B43" t="str">
            <v>Bình Định</v>
          </cell>
          <cell r="C43">
            <v>73.3</v>
          </cell>
          <cell r="D43">
            <v>73.3</v>
          </cell>
          <cell r="E43">
            <v>73.400000000000006</v>
          </cell>
          <cell r="F43">
            <v>73.5</v>
          </cell>
          <cell r="G43">
            <v>73.5</v>
          </cell>
          <cell r="H43">
            <v>73.5</v>
          </cell>
          <cell r="I43">
            <v>73.5</v>
          </cell>
          <cell r="J43">
            <v>74.2</v>
          </cell>
        </row>
        <row r="44">
          <cell r="A44">
            <v>54</v>
          </cell>
          <cell r="B44" t="str">
            <v>Phú Yên</v>
          </cell>
          <cell r="C44">
            <v>73.2</v>
          </cell>
          <cell r="D44">
            <v>73.3</v>
          </cell>
          <cell r="E44">
            <v>73.400000000000006</v>
          </cell>
          <cell r="F44">
            <v>73.5</v>
          </cell>
          <cell r="G44">
            <v>73.599999999999994</v>
          </cell>
          <cell r="H44">
            <v>73.5</v>
          </cell>
          <cell r="I44">
            <v>73.5</v>
          </cell>
          <cell r="J44">
            <v>73.900000000000006</v>
          </cell>
        </row>
        <row r="45">
          <cell r="A45">
            <v>56</v>
          </cell>
          <cell r="B45" t="str">
            <v>Khánh Hoà</v>
          </cell>
          <cell r="C45">
            <v>73.7</v>
          </cell>
          <cell r="D45">
            <v>73.8</v>
          </cell>
          <cell r="E45">
            <v>73.8</v>
          </cell>
          <cell r="F45">
            <v>73.900000000000006</v>
          </cell>
          <cell r="G45">
            <v>73.5</v>
          </cell>
          <cell r="H45">
            <v>73.900000000000006</v>
          </cell>
          <cell r="I45">
            <v>73.900000000000006</v>
          </cell>
          <cell r="J45">
            <v>74.400000000000006</v>
          </cell>
        </row>
        <row r="46">
          <cell r="A46">
            <v>58</v>
          </cell>
          <cell r="B46" t="str">
            <v>Ninh Thuận</v>
          </cell>
          <cell r="C46">
            <v>72.8</v>
          </cell>
          <cell r="D46">
            <v>72.900000000000006</v>
          </cell>
          <cell r="E46">
            <v>72.900000000000006</v>
          </cell>
          <cell r="F46">
            <v>73</v>
          </cell>
          <cell r="G46">
            <v>72.900000000000006</v>
          </cell>
          <cell r="H46">
            <v>73.099999999999994</v>
          </cell>
          <cell r="I46">
            <v>73.099999999999994</v>
          </cell>
          <cell r="J46">
            <v>73.7</v>
          </cell>
        </row>
        <row r="47">
          <cell r="A47">
            <v>60</v>
          </cell>
          <cell r="B47" t="str">
            <v>Bình Thuận</v>
          </cell>
          <cell r="C47">
            <v>74.3</v>
          </cell>
          <cell r="D47">
            <v>74.3</v>
          </cell>
          <cell r="E47">
            <v>74.400000000000006</v>
          </cell>
          <cell r="F47">
            <v>74.5</v>
          </cell>
          <cell r="G47">
            <v>74.599999999999994</v>
          </cell>
          <cell r="H47">
            <v>74.599999999999994</v>
          </cell>
          <cell r="I47">
            <v>74.599999999999994</v>
          </cell>
          <cell r="J47">
            <v>74.900000000000006</v>
          </cell>
        </row>
        <row r="48">
          <cell r="A48">
            <v>62</v>
          </cell>
          <cell r="B48" t="str">
            <v>Kon Tum</v>
          </cell>
          <cell r="C48">
            <v>66.400000000000006</v>
          </cell>
          <cell r="D48">
            <v>66.5</v>
          </cell>
          <cell r="E48">
            <v>66.599999999999994</v>
          </cell>
          <cell r="F48">
            <v>66.7</v>
          </cell>
          <cell r="G48">
            <v>67.7</v>
          </cell>
          <cell r="H48">
            <v>68</v>
          </cell>
          <cell r="I48">
            <v>68</v>
          </cell>
          <cell r="J48">
            <v>69.7</v>
          </cell>
        </row>
        <row r="49">
          <cell r="A49">
            <v>64</v>
          </cell>
          <cell r="B49" t="str">
            <v>Gia Lai</v>
          </cell>
          <cell r="C49">
            <v>69.599999999999994</v>
          </cell>
          <cell r="D49">
            <v>69.7</v>
          </cell>
          <cell r="E49">
            <v>69.7</v>
          </cell>
          <cell r="F49">
            <v>69.900000000000006</v>
          </cell>
          <cell r="G49">
            <v>70.099999999999994</v>
          </cell>
          <cell r="H49">
            <v>71.2</v>
          </cell>
          <cell r="I49">
            <v>71.2</v>
          </cell>
          <cell r="J49">
            <v>72.400000000000006</v>
          </cell>
        </row>
        <row r="50">
          <cell r="A50">
            <v>66</v>
          </cell>
          <cell r="B50" t="str">
            <v>Đắk Lắk</v>
          </cell>
          <cell r="C50">
            <v>70.3</v>
          </cell>
          <cell r="D50">
            <v>70.400000000000006</v>
          </cell>
          <cell r="E50">
            <v>70.400000000000006</v>
          </cell>
          <cell r="F50">
            <v>70.599999999999994</v>
          </cell>
          <cell r="G50">
            <v>71</v>
          </cell>
          <cell r="H50">
            <v>71.400000000000006</v>
          </cell>
          <cell r="I50">
            <v>71.400000000000006</v>
          </cell>
          <cell r="J50">
            <v>71.900000000000006</v>
          </cell>
        </row>
        <row r="51">
          <cell r="A51">
            <v>67</v>
          </cell>
          <cell r="B51" t="str">
            <v>Đắk Nông</v>
          </cell>
          <cell r="C51">
            <v>69.8</v>
          </cell>
          <cell r="D51">
            <v>69.900000000000006</v>
          </cell>
          <cell r="E51">
            <v>69.900000000000006</v>
          </cell>
          <cell r="F51">
            <v>70</v>
          </cell>
          <cell r="G51">
            <v>70.099999999999994</v>
          </cell>
          <cell r="H51">
            <v>70.3</v>
          </cell>
          <cell r="I51">
            <v>70.3</v>
          </cell>
          <cell r="J51">
            <v>71.599999999999994</v>
          </cell>
        </row>
        <row r="52">
          <cell r="A52">
            <v>68</v>
          </cell>
          <cell r="B52" t="str">
            <v>Lâm Đồng</v>
          </cell>
          <cell r="C52">
            <v>72.8</v>
          </cell>
          <cell r="D52">
            <v>72.900000000000006</v>
          </cell>
          <cell r="E52">
            <v>72.900000000000006</v>
          </cell>
          <cell r="F52">
            <v>73</v>
          </cell>
          <cell r="G52">
            <v>73.3</v>
          </cell>
          <cell r="H52">
            <v>73.3</v>
          </cell>
          <cell r="I52">
            <v>73.3</v>
          </cell>
          <cell r="J52">
            <v>73.8</v>
          </cell>
        </row>
        <row r="53">
          <cell r="A53">
            <v>70</v>
          </cell>
          <cell r="B53" t="str">
            <v>Bình Phước</v>
          </cell>
          <cell r="C53">
            <v>73.7</v>
          </cell>
          <cell r="D53">
            <v>73.7</v>
          </cell>
          <cell r="E53">
            <v>73.8</v>
          </cell>
          <cell r="F53">
            <v>73.900000000000006</v>
          </cell>
          <cell r="G53">
            <v>73.900000000000006</v>
          </cell>
          <cell r="H53">
            <v>74</v>
          </cell>
          <cell r="I53">
            <v>74</v>
          </cell>
          <cell r="J53">
            <v>74.400000000000006</v>
          </cell>
        </row>
        <row r="54">
          <cell r="A54">
            <v>72</v>
          </cell>
          <cell r="B54" t="str">
            <v>Tây Ninh</v>
          </cell>
          <cell r="C54">
            <v>74.599999999999994</v>
          </cell>
          <cell r="D54">
            <v>74.7</v>
          </cell>
          <cell r="E54">
            <v>74.7</v>
          </cell>
          <cell r="F54">
            <v>74.8</v>
          </cell>
          <cell r="G54">
            <v>74.7</v>
          </cell>
          <cell r="H54">
            <v>74.8</v>
          </cell>
          <cell r="I54">
            <v>74.8</v>
          </cell>
          <cell r="J54">
            <v>75</v>
          </cell>
        </row>
        <row r="55">
          <cell r="A55">
            <v>74</v>
          </cell>
          <cell r="B55" t="str">
            <v>Bình Dương</v>
          </cell>
          <cell r="C55">
            <v>75.900000000000006</v>
          </cell>
          <cell r="D55">
            <v>76</v>
          </cell>
          <cell r="E55">
            <v>76</v>
          </cell>
          <cell r="F55">
            <v>74.7</v>
          </cell>
          <cell r="G55">
            <v>74.7</v>
          </cell>
          <cell r="H55">
            <v>74.7</v>
          </cell>
          <cell r="I55">
            <v>74.7</v>
          </cell>
          <cell r="J55">
            <v>74.7</v>
          </cell>
        </row>
        <row r="56">
          <cell r="A56">
            <v>75</v>
          </cell>
          <cell r="B56" t="str">
            <v>Đồng Nai</v>
          </cell>
          <cell r="C56">
            <v>76.5</v>
          </cell>
          <cell r="D56">
            <v>76.599999999999994</v>
          </cell>
          <cell r="E56">
            <v>76.599999999999994</v>
          </cell>
          <cell r="F56">
            <v>76.7</v>
          </cell>
          <cell r="G56">
            <v>76.3</v>
          </cell>
          <cell r="H56">
            <v>76.3</v>
          </cell>
          <cell r="I56">
            <v>76.3</v>
          </cell>
          <cell r="J56">
            <v>76.3</v>
          </cell>
        </row>
        <row r="57">
          <cell r="A57">
            <v>77</v>
          </cell>
          <cell r="B57" t="str">
            <v>Bà Rịa-Vũng Tàu(***)</v>
          </cell>
          <cell r="C57">
            <v>76.3</v>
          </cell>
          <cell r="D57">
            <v>76.3</v>
          </cell>
          <cell r="E57">
            <v>76.400000000000006</v>
          </cell>
          <cell r="F57">
            <v>76.400000000000006</v>
          </cell>
          <cell r="G57">
            <v>76.5</v>
          </cell>
          <cell r="H57">
            <v>76.400000000000006</v>
          </cell>
          <cell r="I57">
            <v>76.400000000000006</v>
          </cell>
          <cell r="J57">
            <v>76.400000000000006</v>
          </cell>
        </row>
        <row r="58">
          <cell r="A58">
            <v>79</v>
          </cell>
          <cell r="B58" t="str">
            <v>TP Hồ Chí Minh</v>
          </cell>
          <cell r="C58">
            <v>76.5</v>
          </cell>
          <cell r="D58">
            <v>76.5</v>
          </cell>
          <cell r="E58">
            <v>76.599999999999994</v>
          </cell>
          <cell r="F58">
            <v>76.599999999999994</v>
          </cell>
          <cell r="G58">
            <v>76.5</v>
          </cell>
          <cell r="H58">
            <v>76.2</v>
          </cell>
          <cell r="I58">
            <v>76.3</v>
          </cell>
          <cell r="J58">
            <v>76.5</v>
          </cell>
        </row>
        <row r="59">
          <cell r="A59">
            <v>80</v>
          </cell>
          <cell r="B59" t="str">
            <v>Long An</v>
          </cell>
          <cell r="C59">
            <v>75.599999999999994</v>
          </cell>
          <cell r="D59">
            <v>75.7</v>
          </cell>
          <cell r="E59">
            <v>75.7</v>
          </cell>
          <cell r="F59">
            <v>75.8</v>
          </cell>
          <cell r="G59">
            <v>75.599999999999994</v>
          </cell>
          <cell r="H59">
            <v>75.8</v>
          </cell>
          <cell r="I59">
            <v>76.099999999999994</v>
          </cell>
          <cell r="J59">
            <v>76</v>
          </cell>
        </row>
        <row r="60">
          <cell r="A60">
            <v>82</v>
          </cell>
          <cell r="B60" t="str">
            <v>Tiền Giang</v>
          </cell>
          <cell r="C60">
            <v>75.8</v>
          </cell>
          <cell r="D60">
            <v>75.900000000000006</v>
          </cell>
          <cell r="E60">
            <v>75.900000000000006</v>
          </cell>
          <cell r="F60">
            <v>76</v>
          </cell>
          <cell r="G60">
            <v>76.099999999999994</v>
          </cell>
          <cell r="H60">
            <v>75.900000000000006</v>
          </cell>
          <cell r="I60">
            <v>75.900000000000006</v>
          </cell>
          <cell r="J60">
            <v>76</v>
          </cell>
        </row>
        <row r="61">
          <cell r="A61">
            <v>83</v>
          </cell>
          <cell r="B61" t="str">
            <v>Bến Tre</v>
          </cell>
          <cell r="C61">
            <v>75.5</v>
          </cell>
          <cell r="D61">
            <v>75.5</v>
          </cell>
          <cell r="E61">
            <v>75.599999999999994</v>
          </cell>
          <cell r="F61">
            <v>75.7</v>
          </cell>
          <cell r="G61">
            <v>75.599999999999994</v>
          </cell>
          <cell r="H61">
            <v>75.7</v>
          </cell>
          <cell r="I61">
            <v>75.7</v>
          </cell>
          <cell r="J61">
            <v>75.8</v>
          </cell>
        </row>
        <row r="62">
          <cell r="A62">
            <v>84</v>
          </cell>
          <cell r="B62" t="str">
            <v>Trà Vinh</v>
          </cell>
          <cell r="C62">
            <v>74.400000000000006</v>
          </cell>
          <cell r="D62">
            <v>74.400000000000006</v>
          </cell>
          <cell r="E62">
            <v>74.5</v>
          </cell>
          <cell r="F62">
            <v>74.599999999999994</v>
          </cell>
          <cell r="G62">
            <v>74.8</v>
          </cell>
          <cell r="H62">
            <v>74.7</v>
          </cell>
          <cell r="I62">
            <v>74.7</v>
          </cell>
          <cell r="J62">
            <v>75.2</v>
          </cell>
        </row>
        <row r="63">
          <cell r="A63">
            <v>86</v>
          </cell>
          <cell r="B63" t="str">
            <v>Vĩnh Long</v>
          </cell>
          <cell r="C63">
            <v>75.3</v>
          </cell>
          <cell r="D63">
            <v>75.400000000000006</v>
          </cell>
          <cell r="E63">
            <v>75.400000000000006</v>
          </cell>
          <cell r="F63">
            <v>75.5</v>
          </cell>
          <cell r="G63">
            <v>75.599999999999994</v>
          </cell>
          <cell r="H63">
            <v>75.400000000000006</v>
          </cell>
          <cell r="I63">
            <v>75.400000000000006</v>
          </cell>
          <cell r="J63">
            <v>75.7</v>
          </cell>
        </row>
        <row r="64">
          <cell r="A64">
            <v>87</v>
          </cell>
          <cell r="B64" t="str">
            <v>Đồng Tháp</v>
          </cell>
          <cell r="C64">
            <v>74.5</v>
          </cell>
          <cell r="D64">
            <v>74.599999999999994</v>
          </cell>
          <cell r="E64">
            <v>74.7</v>
          </cell>
          <cell r="F64">
            <v>74.7</v>
          </cell>
          <cell r="G64">
            <v>74.900000000000006</v>
          </cell>
          <cell r="H64">
            <v>74.7</v>
          </cell>
          <cell r="I64">
            <v>74.7</v>
          </cell>
          <cell r="J64">
            <v>75</v>
          </cell>
        </row>
        <row r="65">
          <cell r="A65">
            <v>89</v>
          </cell>
          <cell r="B65" t="str">
            <v>An Giang</v>
          </cell>
          <cell r="C65">
            <v>73.5</v>
          </cell>
          <cell r="D65">
            <v>73.599999999999994</v>
          </cell>
          <cell r="E65">
            <v>73.7</v>
          </cell>
          <cell r="F65">
            <v>73.7</v>
          </cell>
          <cell r="G65">
            <v>73.8</v>
          </cell>
          <cell r="H65">
            <v>73.7</v>
          </cell>
          <cell r="I65">
            <v>73.7</v>
          </cell>
          <cell r="J65">
            <v>74.099999999999994</v>
          </cell>
        </row>
        <row r="66">
          <cell r="A66">
            <v>91</v>
          </cell>
          <cell r="B66" t="str">
            <v>Kiên Giang</v>
          </cell>
          <cell r="C66">
            <v>74.3</v>
          </cell>
          <cell r="D66">
            <v>74.3</v>
          </cell>
          <cell r="E66">
            <v>74.400000000000006</v>
          </cell>
          <cell r="F66">
            <v>74.5</v>
          </cell>
          <cell r="G66">
            <v>74.5</v>
          </cell>
          <cell r="H66">
            <v>74.400000000000006</v>
          </cell>
          <cell r="I66">
            <v>74.400000000000006</v>
          </cell>
          <cell r="J66">
            <v>74.7</v>
          </cell>
        </row>
        <row r="67">
          <cell r="A67">
            <v>92</v>
          </cell>
          <cell r="B67" t="str">
            <v>Cần Thơ</v>
          </cell>
          <cell r="C67">
            <v>75.7</v>
          </cell>
          <cell r="D67">
            <v>75.8</v>
          </cell>
          <cell r="E67">
            <v>75.8</v>
          </cell>
          <cell r="F67">
            <v>75.900000000000006</v>
          </cell>
          <cell r="G67">
            <v>76</v>
          </cell>
          <cell r="H67">
            <v>75.8</v>
          </cell>
          <cell r="I67">
            <v>75.8</v>
          </cell>
          <cell r="J67">
            <v>75.900000000000006</v>
          </cell>
        </row>
        <row r="68">
          <cell r="A68">
            <v>93</v>
          </cell>
          <cell r="B68" t="str">
            <v>Hậu Giang</v>
          </cell>
          <cell r="C68">
            <v>75.3</v>
          </cell>
          <cell r="D68">
            <v>75.400000000000006</v>
          </cell>
          <cell r="E68">
            <v>75.400000000000006</v>
          </cell>
          <cell r="F68">
            <v>75.5</v>
          </cell>
          <cell r="G68">
            <v>75.5</v>
          </cell>
          <cell r="H68">
            <v>75.5</v>
          </cell>
          <cell r="I68">
            <v>75.5</v>
          </cell>
          <cell r="J68">
            <v>75.7</v>
          </cell>
        </row>
        <row r="69">
          <cell r="A69">
            <v>94</v>
          </cell>
          <cell r="B69" t="str">
            <v>Sóc Trăng</v>
          </cell>
          <cell r="C69">
            <v>74</v>
          </cell>
          <cell r="D69">
            <v>74.099999999999994</v>
          </cell>
          <cell r="E69">
            <v>74.2</v>
          </cell>
          <cell r="F69">
            <v>74.2</v>
          </cell>
          <cell r="G69">
            <v>74.400000000000006</v>
          </cell>
          <cell r="H69">
            <v>74.3</v>
          </cell>
          <cell r="I69">
            <v>74.3</v>
          </cell>
          <cell r="J69">
            <v>74.599999999999994</v>
          </cell>
        </row>
        <row r="70">
          <cell r="A70">
            <v>95</v>
          </cell>
          <cell r="B70" t="str">
            <v>Bạc Liêu</v>
          </cell>
          <cell r="C70">
            <v>74.400000000000006</v>
          </cell>
          <cell r="D70">
            <v>74.5</v>
          </cell>
          <cell r="E70">
            <v>74.5</v>
          </cell>
          <cell r="F70">
            <v>74.599999999999994</v>
          </cell>
          <cell r="G70">
            <v>74.7</v>
          </cell>
          <cell r="H70">
            <v>74.599999999999994</v>
          </cell>
          <cell r="I70">
            <v>74.599999999999994</v>
          </cell>
          <cell r="J70">
            <v>75.099999999999994</v>
          </cell>
        </row>
        <row r="71">
          <cell r="A71">
            <v>96</v>
          </cell>
          <cell r="B71" t="str">
            <v>Cà Mau</v>
          </cell>
          <cell r="C71">
            <v>74.8</v>
          </cell>
          <cell r="D71">
            <v>74.900000000000006</v>
          </cell>
          <cell r="E71">
            <v>74.900000000000006</v>
          </cell>
          <cell r="F71">
            <v>75</v>
          </cell>
          <cell r="G71">
            <v>75.3</v>
          </cell>
          <cell r="H71">
            <v>75.099999999999994</v>
          </cell>
          <cell r="I71">
            <v>75.099999999999994</v>
          </cell>
          <cell r="J71">
            <v>75.400000000000006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10">
          <cell r="A10" t="str">
            <v>01</v>
          </cell>
          <cell r="B10" t="str">
            <v>Hà Nội</v>
          </cell>
          <cell r="C10">
            <v>72.900000000000006</v>
          </cell>
          <cell r="D10">
            <v>77.8</v>
          </cell>
          <cell r="E10">
            <v>73</v>
          </cell>
          <cell r="F10">
            <v>77.900000000000006</v>
          </cell>
          <cell r="G10">
            <v>73</v>
          </cell>
          <cell r="H10">
            <v>77.900000000000006</v>
          </cell>
          <cell r="I10">
            <v>73.099999999999994</v>
          </cell>
          <cell r="J10">
            <v>78</v>
          </cell>
          <cell r="K10">
            <v>73.099999999999994</v>
          </cell>
          <cell r="L10">
            <v>78</v>
          </cell>
          <cell r="M10">
            <v>73.3</v>
          </cell>
          <cell r="N10">
            <v>78.2</v>
          </cell>
          <cell r="O10">
            <v>73.400000000000006</v>
          </cell>
          <cell r="P10">
            <v>78.8</v>
          </cell>
          <cell r="Q10">
            <v>73.5</v>
          </cell>
          <cell r="R10">
            <v>78.900000000000006</v>
          </cell>
        </row>
        <row r="11">
          <cell r="A11" t="str">
            <v>02</v>
          </cell>
          <cell r="B11" t="str">
            <v>Hà Giang</v>
          </cell>
          <cell r="C11">
            <v>64.7</v>
          </cell>
          <cell r="D11">
            <v>70.599999999999994</v>
          </cell>
          <cell r="E11">
            <v>64.8</v>
          </cell>
          <cell r="F11">
            <v>70.7</v>
          </cell>
          <cell r="G11">
            <v>64.900000000000006</v>
          </cell>
          <cell r="H11">
            <v>70.8</v>
          </cell>
          <cell r="I11">
            <v>65</v>
          </cell>
          <cell r="J11">
            <v>70.900000000000006</v>
          </cell>
          <cell r="K11">
            <v>65.5</v>
          </cell>
          <cell r="L11">
            <v>71.5</v>
          </cell>
          <cell r="M11">
            <v>65.900000000000006</v>
          </cell>
          <cell r="N11">
            <v>71.8</v>
          </cell>
          <cell r="O11">
            <v>65.900000000000006</v>
          </cell>
          <cell r="P11">
            <v>71.8</v>
          </cell>
          <cell r="Q11">
            <v>68.8</v>
          </cell>
          <cell r="R11">
            <v>74.400000000000006</v>
          </cell>
        </row>
        <row r="12">
          <cell r="A12" t="str">
            <v>04</v>
          </cell>
          <cell r="B12" t="str">
            <v>Cao Bằng</v>
          </cell>
          <cell r="C12">
            <v>67.5</v>
          </cell>
          <cell r="D12">
            <v>73.3</v>
          </cell>
          <cell r="E12">
            <v>67.599999999999994</v>
          </cell>
          <cell r="F12">
            <v>73.400000000000006</v>
          </cell>
          <cell r="G12">
            <v>67.7</v>
          </cell>
          <cell r="H12">
            <v>73.400000000000006</v>
          </cell>
          <cell r="I12">
            <v>67.8</v>
          </cell>
          <cell r="J12">
            <v>73.5</v>
          </cell>
          <cell r="K12">
            <v>67.8</v>
          </cell>
          <cell r="L12">
            <v>73.5</v>
          </cell>
          <cell r="M12">
            <v>68.599999999999994</v>
          </cell>
          <cell r="N12">
            <v>74.3</v>
          </cell>
          <cell r="O12">
            <v>68.599999999999994</v>
          </cell>
          <cell r="P12">
            <v>74.3</v>
          </cell>
          <cell r="Q12">
            <v>69.7</v>
          </cell>
          <cell r="R12">
            <v>75.099999999999994</v>
          </cell>
        </row>
        <row r="13">
          <cell r="A13">
            <v>6</v>
          </cell>
          <cell r="B13" t="str">
            <v>Bắc Kạn</v>
          </cell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</row>
        <row r="14">
          <cell r="A14" t="str">
            <v>08</v>
          </cell>
          <cell r="B14" t="str">
            <v>Tuyên Quang</v>
          </cell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>
            <v>70.400000000000006</v>
          </cell>
          <cell r="R14">
            <v>75.8</v>
          </cell>
        </row>
        <row r="15">
          <cell r="A15">
            <v>10</v>
          </cell>
          <cell r="B15" t="str">
            <v>Lào Cai</v>
          </cell>
          <cell r="C15">
            <v>66</v>
          </cell>
          <cell r="D15">
            <v>71.900000000000006</v>
          </cell>
          <cell r="E15">
            <v>66.099999999999994</v>
          </cell>
          <cell r="F15">
            <v>72</v>
          </cell>
          <cell r="G15">
            <v>66.099999999999994</v>
          </cell>
          <cell r="H15">
            <v>72.099999999999994</v>
          </cell>
          <cell r="I15">
            <v>66.3</v>
          </cell>
          <cell r="J15">
            <v>72.2</v>
          </cell>
          <cell r="K15">
            <v>66.400000000000006</v>
          </cell>
          <cell r="L15">
            <v>72.3</v>
          </cell>
          <cell r="M15">
            <v>67.2</v>
          </cell>
          <cell r="N15">
            <v>72.900000000000006</v>
          </cell>
          <cell r="O15">
            <v>67.2</v>
          </cell>
          <cell r="P15">
            <v>72.900000000000006</v>
          </cell>
          <cell r="Q15">
            <v>68.599999999999994</v>
          </cell>
          <cell r="R15">
            <v>74.2</v>
          </cell>
        </row>
        <row r="16">
          <cell r="A16">
            <v>11</v>
          </cell>
          <cell r="B16" t="str">
            <v>Điện Biên</v>
          </cell>
          <cell r="C16">
            <v>64.599999999999994</v>
          </cell>
          <cell r="D16">
            <v>70.5</v>
          </cell>
          <cell r="E16">
            <v>64.8</v>
          </cell>
          <cell r="F16">
            <v>70.7</v>
          </cell>
          <cell r="G16">
            <v>64.8</v>
          </cell>
          <cell r="H16">
            <v>70.7</v>
          </cell>
          <cell r="I16">
            <v>65</v>
          </cell>
          <cell r="J16">
            <v>70.900000000000006</v>
          </cell>
          <cell r="K16">
            <v>65.599999999999994</v>
          </cell>
          <cell r="L16">
            <v>71.5</v>
          </cell>
          <cell r="M16">
            <v>65.599999999999994</v>
          </cell>
          <cell r="N16">
            <v>71.5</v>
          </cell>
          <cell r="O16">
            <v>65.599999999999994</v>
          </cell>
          <cell r="P16">
            <v>71.5</v>
          </cell>
          <cell r="Q16">
            <v>67.099999999999994</v>
          </cell>
          <cell r="R16">
            <v>72.900000000000006</v>
          </cell>
        </row>
        <row r="17">
          <cell r="A17">
            <v>12</v>
          </cell>
          <cell r="B17" t="str">
            <v>Lai Châu</v>
          </cell>
          <cell r="C17">
            <v>62.5</v>
          </cell>
          <cell r="D17">
            <v>68.5</v>
          </cell>
          <cell r="E17">
            <v>62.7</v>
          </cell>
          <cell r="F17">
            <v>68.7</v>
          </cell>
          <cell r="G17">
            <v>62.7</v>
          </cell>
          <cell r="H17">
            <v>68.8</v>
          </cell>
          <cell r="I17">
            <v>62.9</v>
          </cell>
          <cell r="J17">
            <v>68.900000000000006</v>
          </cell>
          <cell r="K17">
            <v>63.8</v>
          </cell>
          <cell r="L17">
            <v>69.7</v>
          </cell>
          <cell r="M17">
            <v>65</v>
          </cell>
          <cell r="N17">
            <v>70.900000000000006</v>
          </cell>
          <cell r="O17">
            <v>65</v>
          </cell>
          <cell r="P17">
            <v>70.900000000000006</v>
          </cell>
          <cell r="Q17">
            <v>67</v>
          </cell>
          <cell r="R17">
            <v>72.8</v>
          </cell>
        </row>
        <row r="18">
          <cell r="A18">
            <v>14</v>
          </cell>
          <cell r="B18" t="str">
            <v>Sơn La</v>
          </cell>
          <cell r="C18">
            <v>67.900000000000006</v>
          </cell>
          <cell r="D18">
            <v>73.599999999999994</v>
          </cell>
          <cell r="E18">
            <v>68</v>
          </cell>
          <cell r="F18">
            <v>73.7</v>
          </cell>
          <cell r="G18">
            <v>68</v>
          </cell>
          <cell r="H18">
            <v>73.7</v>
          </cell>
          <cell r="I18">
            <v>68.099999999999994</v>
          </cell>
          <cell r="J18">
            <v>73.8</v>
          </cell>
          <cell r="K18">
            <v>68.2</v>
          </cell>
          <cell r="L18">
            <v>73.900000000000006</v>
          </cell>
          <cell r="M18">
            <v>68.2</v>
          </cell>
          <cell r="N18">
            <v>73.900000000000006</v>
          </cell>
          <cell r="O18">
            <v>68.2</v>
          </cell>
          <cell r="P18">
            <v>73.900000000000006</v>
          </cell>
          <cell r="Q18">
            <v>70.8</v>
          </cell>
          <cell r="R18">
            <v>76.2</v>
          </cell>
        </row>
        <row r="19">
          <cell r="A19">
            <v>15</v>
          </cell>
          <cell r="B19" t="str">
            <v>Yên Bái</v>
          </cell>
          <cell r="C19">
            <v>66.5</v>
          </cell>
          <cell r="D19">
            <v>72.400000000000006</v>
          </cell>
          <cell r="E19">
            <v>66.7</v>
          </cell>
          <cell r="F19">
            <v>72.5</v>
          </cell>
          <cell r="G19">
            <v>66.7</v>
          </cell>
          <cell r="H19">
            <v>72.5</v>
          </cell>
          <cell r="I19">
            <v>66.900000000000006</v>
          </cell>
          <cell r="J19">
            <v>72.7</v>
          </cell>
          <cell r="K19">
            <v>66.7</v>
          </cell>
          <cell r="L19">
            <v>72.599999999999994</v>
          </cell>
          <cell r="M19">
            <v>66.8</v>
          </cell>
          <cell r="N19">
            <v>72.599999999999994</v>
          </cell>
          <cell r="O19">
            <v>66.8</v>
          </cell>
          <cell r="P19">
            <v>72.599999999999994</v>
          </cell>
          <cell r="Q19">
            <v>69</v>
          </cell>
          <cell r="R19">
            <v>74.5</v>
          </cell>
        </row>
        <row r="20">
          <cell r="A20">
            <v>17</v>
          </cell>
          <cell r="B20" t="str">
            <v>Hoà Bình</v>
          </cell>
          <cell r="C20">
            <v>69.8</v>
          </cell>
          <cell r="D20">
            <v>75.2</v>
          </cell>
          <cell r="E20">
            <v>69.900000000000006</v>
          </cell>
          <cell r="F20">
            <v>75.3</v>
          </cell>
          <cell r="G20">
            <v>70</v>
          </cell>
          <cell r="H20">
            <v>75.3</v>
          </cell>
          <cell r="I20">
            <v>70</v>
          </cell>
          <cell r="J20">
            <v>75.400000000000006</v>
          </cell>
          <cell r="K20">
            <v>70</v>
          </cell>
          <cell r="L20">
            <v>75.400000000000006</v>
          </cell>
          <cell r="M20">
            <v>70.099999999999994</v>
          </cell>
          <cell r="N20">
            <v>75.5</v>
          </cell>
          <cell r="O20">
            <v>70.099999999999994</v>
          </cell>
          <cell r="P20">
            <v>75.5</v>
          </cell>
          <cell r="Q20">
            <v>70.8</v>
          </cell>
          <cell r="R20">
            <v>76.099999999999994</v>
          </cell>
        </row>
        <row r="21">
          <cell r="A21">
            <v>19</v>
          </cell>
          <cell r="B21" t="str">
            <v>Thái Nguyên</v>
          </cell>
          <cell r="C21">
            <v>70.8</v>
          </cell>
          <cell r="D21">
            <v>76.2</v>
          </cell>
          <cell r="E21">
            <v>70.900000000000006</v>
          </cell>
          <cell r="F21">
            <v>76.2</v>
          </cell>
          <cell r="G21">
            <v>70.900000000000006</v>
          </cell>
          <cell r="H21">
            <v>76.3</v>
          </cell>
          <cell r="I21">
            <v>71</v>
          </cell>
          <cell r="J21">
            <v>76.400000000000006</v>
          </cell>
          <cell r="K21">
            <v>71.099999999999994</v>
          </cell>
          <cell r="L21">
            <v>76.400000000000006</v>
          </cell>
          <cell r="M21">
            <v>71.099999999999994</v>
          </cell>
          <cell r="N21">
            <v>76.400000000000006</v>
          </cell>
          <cell r="O21">
            <v>71.099999999999994</v>
          </cell>
          <cell r="P21">
            <v>76.400000000000006</v>
          </cell>
          <cell r="Q21">
            <v>72.099999999999994</v>
          </cell>
          <cell r="R21">
            <v>77.099999999999994</v>
          </cell>
        </row>
        <row r="22">
          <cell r="A22">
            <v>20</v>
          </cell>
          <cell r="B22" t="str">
            <v>Lạng Sơn</v>
          </cell>
          <cell r="C22">
            <v>69.5</v>
          </cell>
          <cell r="D22">
            <v>74.900000000000006</v>
          </cell>
          <cell r="E22">
            <v>69.599999999999994</v>
          </cell>
          <cell r="F22">
            <v>75</v>
          </cell>
          <cell r="G22">
            <v>69.599999999999994</v>
          </cell>
          <cell r="H22">
            <v>75</v>
          </cell>
          <cell r="I22">
            <v>69.7</v>
          </cell>
          <cell r="J22">
            <v>75.099999999999994</v>
          </cell>
          <cell r="K22">
            <v>69.8</v>
          </cell>
          <cell r="L22">
            <v>75.2</v>
          </cell>
          <cell r="M22">
            <v>69.8</v>
          </cell>
          <cell r="N22">
            <v>75.2</v>
          </cell>
          <cell r="O22">
            <v>69.8</v>
          </cell>
          <cell r="P22">
            <v>75.2</v>
          </cell>
          <cell r="Q22">
            <v>70.5</v>
          </cell>
          <cell r="R22">
            <v>75.8</v>
          </cell>
        </row>
        <row r="23">
          <cell r="A23">
            <v>22</v>
          </cell>
          <cell r="B23" t="str">
            <v>Quảng Ninh</v>
          </cell>
          <cell r="C23">
            <v>70.7</v>
          </cell>
          <cell r="D23">
            <v>76</v>
          </cell>
          <cell r="E23">
            <v>70.8</v>
          </cell>
          <cell r="F23">
            <v>76.099999999999994</v>
          </cell>
          <cell r="G23">
            <v>70.8</v>
          </cell>
          <cell r="H23">
            <v>76.099999999999994</v>
          </cell>
          <cell r="I23">
            <v>70.900000000000006</v>
          </cell>
          <cell r="J23">
            <v>76.2</v>
          </cell>
          <cell r="K23">
            <v>70.8</v>
          </cell>
          <cell r="L23">
            <v>76.2</v>
          </cell>
          <cell r="M23">
            <v>70.900000000000006</v>
          </cell>
          <cell r="N23">
            <v>76.2</v>
          </cell>
          <cell r="O23">
            <v>70.900000000000006</v>
          </cell>
          <cell r="P23">
            <v>76.2</v>
          </cell>
          <cell r="Q23">
            <v>71.5</v>
          </cell>
          <cell r="R23">
            <v>76.7</v>
          </cell>
        </row>
        <row r="24">
          <cell r="A24">
            <v>24</v>
          </cell>
          <cell r="B24" t="str">
            <v>Bắc Giang</v>
          </cell>
          <cell r="C24">
            <v>70.599999999999994</v>
          </cell>
          <cell r="D24">
            <v>75.900000000000006</v>
          </cell>
          <cell r="E24">
            <v>70.7</v>
          </cell>
          <cell r="F24">
            <v>76</v>
          </cell>
          <cell r="G24">
            <v>70.7</v>
          </cell>
          <cell r="H24">
            <v>76.099999999999994</v>
          </cell>
          <cell r="I24">
            <v>70.8</v>
          </cell>
          <cell r="J24">
            <v>76.099999999999994</v>
          </cell>
          <cell r="K24">
            <v>70.900000000000006</v>
          </cell>
          <cell r="L24">
            <v>76.2</v>
          </cell>
          <cell r="M24">
            <v>70.8</v>
          </cell>
          <cell r="N24">
            <v>76.2</v>
          </cell>
          <cell r="O24">
            <v>70.8</v>
          </cell>
          <cell r="P24">
            <v>76.2</v>
          </cell>
          <cell r="Q24">
            <v>71.900000000000006</v>
          </cell>
          <cell r="R24">
            <v>77</v>
          </cell>
        </row>
        <row r="25">
          <cell r="A25">
            <v>25</v>
          </cell>
          <cell r="B25" t="str">
            <v>Phú Thọ</v>
          </cell>
          <cell r="C25">
            <v>70.7</v>
          </cell>
          <cell r="D25">
            <v>76</v>
          </cell>
          <cell r="E25">
            <v>70.8</v>
          </cell>
          <cell r="F25">
            <v>76.099999999999994</v>
          </cell>
          <cell r="G25">
            <v>70.8</v>
          </cell>
          <cell r="H25">
            <v>76.099999999999994</v>
          </cell>
          <cell r="I25">
            <v>70.900000000000006</v>
          </cell>
          <cell r="J25">
            <v>76.2</v>
          </cell>
          <cell r="K25">
            <v>70.900000000000006</v>
          </cell>
          <cell r="L25">
            <v>76.2</v>
          </cell>
          <cell r="M25">
            <v>70.900000000000006</v>
          </cell>
          <cell r="N25">
            <v>76.3</v>
          </cell>
          <cell r="O25">
            <v>70.900000000000006</v>
          </cell>
          <cell r="P25">
            <v>76.3</v>
          </cell>
          <cell r="Q25">
            <v>71.900000000000006</v>
          </cell>
          <cell r="R25">
            <v>77</v>
          </cell>
        </row>
        <row r="26">
          <cell r="A26">
            <v>26</v>
          </cell>
          <cell r="B26" t="str">
            <v>Vĩnh Phúc</v>
          </cell>
          <cell r="C26">
            <v>71.599999999999994</v>
          </cell>
          <cell r="D26">
            <v>76.8</v>
          </cell>
          <cell r="E26">
            <v>71.7</v>
          </cell>
          <cell r="F26">
            <v>76.900000000000006</v>
          </cell>
          <cell r="G26">
            <v>71.7</v>
          </cell>
          <cell r="H26">
            <v>76.900000000000006</v>
          </cell>
          <cell r="I26">
            <v>71.8</v>
          </cell>
          <cell r="J26">
            <v>77</v>
          </cell>
          <cell r="K26">
            <v>71.5</v>
          </cell>
          <cell r="L26">
            <v>76.7</v>
          </cell>
          <cell r="M26">
            <v>71.900000000000006</v>
          </cell>
          <cell r="N26">
            <v>77</v>
          </cell>
          <cell r="O26">
            <v>71.900000000000006</v>
          </cell>
          <cell r="P26">
            <v>77</v>
          </cell>
          <cell r="Q26">
            <v>72.5</v>
          </cell>
          <cell r="R26">
            <v>77.400000000000006</v>
          </cell>
        </row>
        <row r="27">
          <cell r="A27">
            <v>27</v>
          </cell>
          <cell r="B27" t="str">
            <v>Bắc Ninh</v>
          </cell>
          <cell r="C27">
            <v>71.599999999999994</v>
          </cell>
          <cell r="D27">
            <v>76.8</v>
          </cell>
          <cell r="E27">
            <v>71.7</v>
          </cell>
          <cell r="F27">
            <v>76.900000000000006</v>
          </cell>
          <cell r="G27">
            <v>71.8</v>
          </cell>
          <cell r="H27">
            <v>76.900000000000006</v>
          </cell>
          <cell r="I27">
            <v>71.8</v>
          </cell>
          <cell r="J27">
            <v>77</v>
          </cell>
          <cell r="K27">
            <v>71.5</v>
          </cell>
          <cell r="L27">
            <v>76.7</v>
          </cell>
          <cell r="M27">
            <v>71.8</v>
          </cell>
          <cell r="N27">
            <v>76.900000000000006</v>
          </cell>
          <cell r="O27">
            <v>71.8</v>
          </cell>
          <cell r="P27">
            <v>76.900000000000006</v>
          </cell>
          <cell r="Q27">
            <v>72.599999999999994</v>
          </cell>
          <cell r="R27">
            <v>77.5</v>
          </cell>
        </row>
        <row r="28">
          <cell r="A28">
            <v>30</v>
          </cell>
          <cell r="B28" t="str">
            <v>Hải Dương</v>
          </cell>
          <cell r="C28">
            <v>72.2</v>
          </cell>
          <cell r="D28">
            <v>77.2</v>
          </cell>
          <cell r="E28">
            <v>72.2</v>
          </cell>
          <cell r="F28">
            <v>77.3</v>
          </cell>
          <cell r="G28">
            <v>72.3</v>
          </cell>
          <cell r="H28">
            <v>77.3</v>
          </cell>
          <cell r="I28">
            <v>72.400000000000006</v>
          </cell>
          <cell r="J28">
            <v>77.400000000000006</v>
          </cell>
          <cell r="K28">
            <v>72.400000000000006</v>
          </cell>
          <cell r="L28">
            <v>77.400000000000006</v>
          </cell>
          <cell r="M28">
            <v>72.400000000000006</v>
          </cell>
          <cell r="N28">
            <v>77.400000000000006</v>
          </cell>
          <cell r="O28">
            <v>72.400000000000006</v>
          </cell>
          <cell r="P28">
            <v>77.400000000000006</v>
          </cell>
          <cell r="Q28">
            <v>72.7</v>
          </cell>
          <cell r="R28">
            <v>77.599999999999994</v>
          </cell>
        </row>
        <row r="29">
          <cell r="A29">
            <v>31</v>
          </cell>
          <cell r="B29" t="str">
            <v>Hải Phòng</v>
          </cell>
          <cell r="C29">
            <v>72</v>
          </cell>
          <cell r="D29">
            <v>77.099999999999994</v>
          </cell>
          <cell r="E29">
            <v>72.099999999999994</v>
          </cell>
          <cell r="F29">
            <v>77.2</v>
          </cell>
          <cell r="G29">
            <v>72.099999999999994</v>
          </cell>
          <cell r="H29">
            <v>77.2</v>
          </cell>
          <cell r="I29">
            <v>72.2</v>
          </cell>
          <cell r="J29">
            <v>77.3</v>
          </cell>
          <cell r="K29">
            <v>72.099999999999994</v>
          </cell>
          <cell r="L29">
            <v>77.099999999999994</v>
          </cell>
          <cell r="M29">
            <v>72.2</v>
          </cell>
          <cell r="N29">
            <v>77.3</v>
          </cell>
          <cell r="O29">
            <v>72.2</v>
          </cell>
          <cell r="P29">
            <v>77.3</v>
          </cell>
          <cell r="Q29">
            <v>72.599999999999994</v>
          </cell>
          <cell r="R29">
            <v>77.5</v>
          </cell>
        </row>
        <row r="30">
          <cell r="A30">
            <v>33</v>
          </cell>
          <cell r="B30" t="str">
            <v>Hưng Yên</v>
          </cell>
          <cell r="C30">
            <v>71.900000000000006</v>
          </cell>
          <cell r="D30">
            <v>77</v>
          </cell>
          <cell r="E30">
            <v>72</v>
          </cell>
          <cell r="F30">
            <v>77.099999999999994</v>
          </cell>
          <cell r="G30">
            <v>72</v>
          </cell>
          <cell r="H30">
            <v>77.099999999999994</v>
          </cell>
          <cell r="I30">
            <v>72.099999999999994</v>
          </cell>
          <cell r="J30">
            <v>77.2</v>
          </cell>
          <cell r="K30">
            <v>72.3</v>
          </cell>
          <cell r="L30">
            <v>77.3</v>
          </cell>
          <cell r="M30">
            <v>72.2</v>
          </cell>
          <cell r="N30">
            <v>77.2</v>
          </cell>
          <cell r="O30">
            <v>72.2</v>
          </cell>
          <cell r="P30">
            <v>77.2</v>
          </cell>
          <cell r="Q30">
            <v>72.599999999999994</v>
          </cell>
          <cell r="R30">
            <v>77.5</v>
          </cell>
        </row>
        <row r="31">
          <cell r="A31">
            <v>34</v>
          </cell>
          <cell r="B31" t="str">
            <v>Thái Bình</v>
          </cell>
          <cell r="C31">
            <v>72.900000000000006</v>
          </cell>
          <cell r="D31">
            <v>77.8</v>
          </cell>
          <cell r="E31">
            <v>72.900000000000006</v>
          </cell>
          <cell r="F31">
            <v>77.900000000000006</v>
          </cell>
          <cell r="G31">
            <v>73</v>
          </cell>
          <cell r="H31">
            <v>77.900000000000006</v>
          </cell>
          <cell r="I31">
            <v>73</v>
          </cell>
          <cell r="J31">
            <v>78</v>
          </cell>
          <cell r="K31">
            <v>72.5</v>
          </cell>
          <cell r="L31">
            <v>77.5</v>
          </cell>
          <cell r="M31">
            <v>73</v>
          </cell>
          <cell r="N31">
            <v>77.900000000000006</v>
          </cell>
          <cell r="O31">
            <v>73</v>
          </cell>
          <cell r="P31">
            <v>77.900000000000006</v>
          </cell>
          <cell r="Q31">
            <v>73</v>
          </cell>
          <cell r="R31">
            <v>78</v>
          </cell>
        </row>
        <row r="32">
          <cell r="A32">
            <v>35</v>
          </cell>
          <cell r="B32" t="str">
            <v>Hà Nam</v>
          </cell>
          <cell r="C32">
            <v>72</v>
          </cell>
          <cell r="D32">
            <v>77.099999999999994</v>
          </cell>
          <cell r="E32">
            <v>72.099999999999994</v>
          </cell>
          <cell r="F32">
            <v>77.2</v>
          </cell>
          <cell r="G32">
            <v>72.099999999999994</v>
          </cell>
          <cell r="H32">
            <v>77.2</v>
          </cell>
          <cell r="I32">
            <v>72.2</v>
          </cell>
          <cell r="J32">
            <v>77.2</v>
          </cell>
          <cell r="K32">
            <v>72.3</v>
          </cell>
          <cell r="L32">
            <v>77.3</v>
          </cell>
          <cell r="M32">
            <v>72.3</v>
          </cell>
          <cell r="N32">
            <v>77.3</v>
          </cell>
          <cell r="O32">
            <v>72.3</v>
          </cell>
          <cell r="P32">
            <v>77.3</v>
          </cell>
          <cell r="Q32">
            <v>72.7</v>
          </cell>
          <cell r="R32">
            <v>77.599999999999994</v>
          </cell>
        </row>
        <row r="33">
          <cell r="A33">
            <v>36</v>
          </cell>
          <cell r="B33" t="str">
            <v>Nam Định</v>
          </cell>
          <cell r="C33">
            <v>71.8</v>
          </cell>
          <cell r="D33">
            <v>76.900000000000006</v>
          </cell>
          <cell r="E33">
            <v>71.900000000000006</v>
          </cell>
          <cell r="F33">
            <v>77</v>
          </cell>
          <cell r="G33">
            <v>71.900000000000006</v>
          </cell>
          <cell r="H33">
            <v>77</v>
          </cell>
          <cell r="I33">
            <v>72</v>
          </cell>
          <cell r="J33">
            <v>77.099999999999994</v>
          </cell>
          <cell r="K33">
            <v>72.099999999999994</v>
          </cell>
          <cell r="L33">
            <v>77.2</v>
          </cell>
          <cell r="M33">
            <v>72</v>
          </cell>
          <cell r="N33">
            <v>77.099999999999994</v>
          </cell>
          <cell r="O33">
            <v>72</v>
          </cell>
          <cell r="P33">
            <v>77.099999999999994</v>
          </cell>
          <cell r="Q33">
            <v>72.5</v>
          </cell>
          <cell r="R33">
            <v>77.5</v>
          </cell>
        </row>
        <row r="34">
          <cell r="A34">
            <v>37</v>
          </cell>
          <cell r="B34" t="str">
            <v>Ninh Bình</v>
          </cell>
          <cell r="C34">
            <v>71</v>
          </cell>
          <cell r="D34">
            <v>76.3</v>
          </cell>
          <cell r="E34">
            <v>71.099999999999994</v>
          </cell>
          <cell r="F34">
            <v>76.400000000000006</v>
          </cell>
          <cell r="G34">
            <v>71.099999999999994</v>
          </cell>
          <cell r="H34">
            <v>76.400000000000006</v>
          </cell>
          <cell r="I34">
            <v>71.2</v>
          </cell>
          <cell r="J34">
            <v>76.5</v>
          </cell>
          <cell r="K34">
            <v>71.7</v>
          </cell>
          <cell r="L34">
            <v>76.8</v>
          </cell>
          <cell r="M34">
            <v>71.8</v>
          </cell>
          <cell r="N34">
            <v>76.900000000000006</v>
          </cell>
          <cell r="O34">
            <v>71.8</v>
          </cell>
          <cell r="P34">
            <v>76.900000000000006</v>
          </cell>
          <cell r="Q34">
            <v>72</v>
          </cell>
          <cell r="R34">
            <v>77.099999999999994</v>
          </cell>
        </row>
        <row r="35">
          <cell r="A35">
            <v>38</v>
          </cell>
          <cell r="B35" t="str">
            <v>Thanh Hoá</v>
          </cell>
          <cell r="C35">
            <v>70.5</v>
          </cell>
          <cell r="D35">
            <v>75.900000000000006</v>
          </cell>
          <cell r="E35">
            <v>70.599999999999994</v>
          </cell>
          <cell r="F35">
            <v>76</v>
          </cell>
          <cell r="G35">
            <v>70.7</v>
          </cell>
          <cell r="H35">
            <v>76</v>
          </cell>
          <cell r="I35">
            <v>70.8</v>
          </cell>
          <cell r="J35">
            <v>76.099999999999994</v>
          </cell>
          <cell r="K35">
            <v>70.8</v>
          </cell>
          <cell r="L35">
            <v>76.2</v>
          </cell>
          <cell r="M35">
            <v>70.8</v>
          </cell>
          <cell r="N35">
            <v>76.2</v>
          </cell>
          <cell r="O35">
            <v>70.8</v>
          </cell>
          <cell r="P35">
            <v>76.2</v>
          </cell>
          <cell r="Q35">
            <v>71.2</v>
          </cell>
          <cell r="R35">
            <v>76.5</v>
          </cell>
        </row>
        <row r="36">
          <cell r="A36">
            <v>40</v>
          </cell>
          <cell r="B36" t="str">
            <v>Nghệ An</v>
          </cell>
          <cell r="C36">
            <v>70</v>
          </cell>
          <cell r="D36">
            <v>75.400000000000006</v>
          </cell>
          <cell r="E36">
            <v>70.099999999999994</v>
          </cell>
          <cell r="F36">
            <v>75.5</v>
          </cell>
          <cell r="G36">
            <v>70.2</v>
          </cell>
          <cell r="H36">
            <v>75.5</v>
          </cell>
          <cell r="I36">
            <v>70.3</v>
          </cell>
          <cell r="J36">
            <v>75.599999999999994</v>
          </cell>
          <cell r="K36">
            <v>70.5</v>
          </cell>
          <cell r="L36">
            <v>75.8</v>
          </cell>
          <cell r="M36">
            <v>70.599999999999994</v>
          </cell>
          <cell r="N36">
            <v>75.900000000000006</v>
          </cell>
          <cell r="O36">
            <v>70.599999999999994</v>
          </cell>
          <cell r="P36">
            <v>75.900000000000006</v>
          </cell>
          <cell r="Q36">
            <v>71</v>
          </cell>
          <cell r="R36">
            <v>76.3</v>
          </cell>
        </row>
        <row r="37">
          <cell r="A37">
            <v>42</v>
          </cell>
          <cell r="B37" t="str">
            <v>Hà Tĩnh</v>
          </cell>
          <cell r="C37">
            <v>69.900000000000006</v>
          </cell>
          <cell r="D37">
            <v>75.3</v>
          </cell>
          <cell r="E37">
            <v>70</v>
          </cell>
          <cell r="F37">
            <v>75.400000000000006</v>
          </cell>
          <cell r="G37">
            <v>70.099999999999994</v>
          </cell>
          <cell r="H37">
            <v>75.400000000000006</v>
          </cell>
          <cell r="I37">
            <v>70.2</v>
          </cell>
          <cell r="J37">
            <v>75.5</v>
          </cell>
          <cell r="K37">
            <v>70</v>
          </cell>
          <cell r="L37">
            <v>75.400000000000006</v>
          </cell>
          <cell r="M37">
            <v>70.2</v>
          </cell>
          <cell r="N37">
            <v>75.599999999999994</v>
          </cell>
          <cell r="O37">
            <v>70.2</v>
          </cell>
          <cell r="P37">
            <v>75.599999999999994</v>
          </cell>
          <cell r="Q37">
            <v>70.8</v>
          </cell>
          <cell r="R37">
            <v>76.099999999999994</v>
          </cell>
        </row>
        <row r="38">
          <cell r="A38">
            <v>44</v>
          </cell>
          <cell r="B38" t="str">
            <v>Quảng Bình</v>
          </cell>
          <cell r="C38">
            <v>70</v>
          </cell>
          <cell r="D38">
            <v>75.400000000000006</v>
          </cell>
          <cell r="E38">
            <v>70.099999999999994</v>
          </cell>
          <cell r="F38">
            <v>75.400000000000006</v>
          </cell>
          <cell r="G38">
            <v>70.099999999999994</v>
          </cell>
          <cell r="H38">
            <v>75.5</v>
          </cell>
          <cell r="I38">
            <v>69.5</v>
          </cell>
          <cell r="J38">
            <v>74.900000000000006</v>
          </cell>
          <cell r="K38">
            <v>70</v>
          </cell>
          <cell r="L38">
            <v>75.400000000000006</v>
          </cell>
          <cell r="M38">
            <v>70.3</v>
          </cell>
          <cell r="N38">
            <v>75.599999999999994</v>
          </cell>
          <cell r="O38">
            <v>70.3</v>
          </cell>
          <cell r="P38">
            <v>75.599999999999994</v>
          </cell>
          <cell r="Q38">
            <v>70.5</v>
          </cell>
          <cell r="R38">
            <v>75.900000000000006</v>
          </cell>
        </row>
        <row r="39">
          <cell r="A39">
            <v>45</v>
          </cell>
          <cell r="B39" t="str">
            <v>Quảng Trị</v>
          </cell>
          <cell r="C39">
            <v>65.099999999999994</v>
          </cell>
          <cell r="D39">
            <v>71.099999999999994</v>
          </cell>
          <cell r="E39">
            <v>65.3</v>
          </cell>
          <cell r="F39">
            <v>71.2</v>
          </cell>
          <cell r="G39">
            <v>65.3</v>
          </cell>
          <cell r="H39">
            <v>71.2</v>
          </cell>
          <cell r="I39">
            <v>65.400000000000006</v>
          </cell>
          <cell r="J39">
            <v>71.400000000000006</v>
          </cell>
          <cell r="K39">
            <v>65.3</v>
          </cell>
          <cell r="L39">
            <v>71.2</v>
          </cell>
          <cell r="M39">
            <v>66.5</v>
          </cell>
          <cell r="N39">
            <v>72.3</v>
          </cell>
          <cell r="O39">
            <v>66.5</v>
          </cell>
          <cell r="P39">
            <v>72.3</v>
          </cell>
          <cell r="Q39">
            <v>68.599999999999994</v>
          </cell>
          <cell r="R39">
            <v>74.3</v>
          </cell>
        </row>
        <row r="40">
          <cell r="A40">
            <v>46</v>
          </cell>
          <cell r="B40" t="str">
            <v>Thừa Thiên Huế</v>
          </cell>
          <cell r="C40">
            <v>68.8</v>
          </cell>
          <cell r="D40">
            <v>74.400000000000006</v>
          </cell>
          <cell r="E40">
            <v>68.900000000000006</v>
          </cell>
          <cell r="F40">
            <v>74.5</v>
          </cell>
          <cell r="G40">
            <v>69</v>
          </cell>
          <cell r="H40">
            <v>74.5</v>
          </cell>
          <cell r="I40">
            <v>69.099999999999994</v>
          </cell>
          <cell r="J40">
            <v>74.599999999999994</v>
          </cell>
          <cell r="K40">
            <v>69</v>
          </cell>
          <cell r="L40">
            <v>74.599999999999994</v>
          </cell>
          <cell r="M40">
            <v>69.7</v>
          </cell>
          <cell r="N40">
            <v>75.099999999999994</v>
          </cell>
          <cell r="O40">
            <v>69.7</v>
          </cell>
          <cell r="P40">
            <v>75.099999999999994</v>
          </cell>
          <cell r="Q40">
            <v>70.599999999999994</v>
          </cell>
          <cell r="R40">
            <v>76</v>
          </cell>
        </row>
        <row r="41">
          <cell r="A41">
            <v>48</v>
          </cell>
          <cell r="B41" t="str">
            <v>Đà Nẵng</v>
          </cell>
          <cell r="C41">
            <v>73.3</v>
          </cell>
          <cell r="D41">
            <v>78.7</v>
          </cell>
          <cell r="E41">
            <v>73.400000000000006</v>
          </cell>
          <cell r="F41">
            <v>78.8</v>
          </cell>
          <cell r="G41">
            <v>73.400000000000006</v>
          </cell>
          <cell r="H41">
            <v>78.8</v>
          </cell>
          <cell r="I41">
            <v>73.5</v>
          </cell>
          <cell r="J41">
            <v>78.8</v>
          </cell>
          <cell r="K41">
            <v>73.7</v>
          </cell>
          <cell r="L41">
            <v>79</v>
          </cell>
          <cell r="M41">
            <v>73.599999999999994</v>
          </cell>
          <cell r="N41">
            <v>78.900000000000006</v>
          </cell>
          <cell r="O41">
            <v>73.599999999999994</v>
          </cell>
          <cell r="P41">
            <v>78.900000000000006</v>
          </cell>
          <cell r="Q41">
            <v>73.7</v>
          </cell>
          <cell r="R41">
            <v>79</v>
          </cell>
        </row>
        <row r="42">
          <cell r="A42">
            <v>49</v>
          </cell>
          <cell r="B42" t="str">
            <v>Quảng Nam</v>
          </cell>
          <cell r="C42">
            <v>70.099999999999994</v>
          </cell>
          <cell r="D42">
            <v>75.5</v>
          </cell>
          <cell r="E42">
            <v>70.2</v>
          </cell>
          <cell r="F42">
            <v>75.599999999999994</v>
          </cell>
          <cell r="G42">
            <v>70.2</v>
          </cell>
          <cell r="H42">
            <v>75.599999999999994</v>
          </cell>
          <cell r="I42">
            <v>70.3</v>
          </cell>
          <cell r="J42">
            <v>75.7</v>
          </cell>
          <cell r="K42">
            <v>70.400000000000006</v>
          </cell>
          <cell r="L42">
            <v>75.8</v>
          </cell>
          <cell r="M42">
            <v>70.5</v>
          </cell>
          <cell r="N42">
            <v>75.900000000000006</v>
          </cell>
          <cell r="O42">
            <v>70.5</v>
          </cell>
          <cell r="P42">
            <v>75.900000000000006</v>
          </cell>
          <cell r="Q42">
            <v>70.900000000000006</v>
          </cell>
          <cell r="R42">
            <v>76.2</v>
          </cell>
        </row>
        <row r="43">
          <cell r="A43">
            <v>51</v>
          </cell>
          <cell r="B43" t="str">
            <v>Quảng Ngãi</v>
          </cell>
          <cell r="C43">
            <v>69.599999999999994</v>
          </cell>
          <cell r="D43">
            <v>75</v>
          </cell>
          <cell r="E43">
            <v>69.7</v>
          </cell>
          <cell r="F43">
            <v>75.099999999999994</v>
          </cell>
          <cell r="G43">
            <v>69.8</v>
          </cell>
          <cell r="H43">
            <v>75.2</v>
          </cell>
          <cell r="I43">
            <v>69.900000000000006</v>
          </cell>
          <cell r="J43">
            <v>75.3</v>
          </cell>
          <cell r="K43">
            <v>69.8</v>
          </cell>
          <cell r="L43">
            <v>75.2</v>
          </cell>
          <cell r="M43">
            <v>69.900000000000006</v>
          </cell>
          <cell r="N43">
            <v>75.3</v>
          </cell>
          <cell r="O43">
            <v>69.900000000000006</v>
          </cell>
          <cell r="P43">
            <v>75.3</v>
          </cell>
          <cell r="Q43">
            <v>70.599999999999994</v>
          </cell>
          <cell r="R43">
            <v>75.900000000000006</v>
          </cell>
        </row>
        <row r="44">
          <cell r="A44">
            <v>52</v>
          </cell>
          <cell r="B44" t="str">
            <v>Bình Định</v>
          </cell>
          <cell r="C44">
            <v>70.7</v>
          </cell>
          <cell r="D44">
            <v>76</v>
          </cell>
          <cell r="E44">
            <v>70.8</v>
          </cell>
          <cell r="F44">
            <v>76.099999999999994</v>
          </cell>
          <cell r="G44">
            <v>70.8</v>
          </cell>
          <cell r="H44">
            <v>76.099999999999994</v>
          </cell>
          <cell r="I44">
            <v>70.900000000000006</v>
          </cell>
          <cell r="J44">
            <v>76.2</v>
          </cell>
          <cell r="K44">
            <v>70.900000000000006</v>
          </cell>
          <cell r="L44">
            <v>76.2</v>
          </cell>
          <cell r="M44">
            <v>70.900000000000006</v>
          </cell>
          <cell r="N44">
            <v>76.2</v>
          </cell>
          <cell r="O44">
            <v>70.900000000000006</v>
          </cell>
          <cell r="P44">
            <v>76.2</v>
          </cell>
          <cell r="Q44">
            <v>71.7</v>
          </cell>
          <cell r="R44">
            <v>76.900000000000006</v>
          </cell>
        </row>
        <row r="45">
          <cell r="A45">
            <v>54</v>
          </cell>
          <cell r="B45" t="str">
            <v>Phú Yên</v>
          </cell>
          <cell r="C45">
            <v>70.7</v>
          </cell>
          <cell r="D45">
            <v>76</v>
          </cell>
          <cell r="E45">
            <v>70.7</v>
          </cell>
          <cell r="F45">
            <v>76.099999999999994</v>
          </cell>
          <cell r="G45">
            <v>70.8</v>
          </cell>
          <cell r="H45">
            <v>76.099999999999994</v>
          </cell>
          <cell r="I45">
            <v>70.900000000000006</v>
          </cell>
          <cell r="J45">
            <v>76.2</v>
          </cell>
          <cell r="K45">
            <v>71</v>
          </cell>
          <cell r="L45">
            <v>76.3</v>
          </cell>
          <cell r="M45">
            <v>70.900000000000006</v>
          </cell>
          <cell r="N45">
            <v>76.3</v>
          </cell>
          <cell r="O45">
            <v>70.900000000000006</v>
          </cell>
          <cell r="P45">
            <v>76.3</v>
          </cell>
          <cell r="Q45">
            <v>71.3</v>
          </cell>
          <cell r="R45">
            <v>76.599999999999994</v>
          </cell>
        </row>
        <row r="46">
          <cell r="A46">
            <v>56</v>
          </cell>
          <cell r="B46" t="str">
            <v>Khánh Hoà</v>
          </cell>
          <cell r="C46">
            <v>71.099999999999994</v>
          </cell>
          <cell r="D46">
            <v>76.400000000000006</v>
          </cell>
          <cell r="E46">
            <v>71.2</v>
          </cell>
          <cell r="F46">
            <v>76.5</v>
          </cell>
          <cell r="G46">
            <v>71.2</v>
          </cell>
          <cell r="H46">
            <v>76.5</v>
          </cell>
          <cell r="I46">
            <v>71.3</v>
          </cell>
          <cell r="J46">
            <v>76.599999999999994</v>
          </cell>
          <cell r="K46">
            <v>70.900000000000006</v>
          </cell>
          <cell r="L46">
            <v>76.3</v>
          </cell>
          <cell r="M46">
            <v>71.400000000000006</v>
          </cell>
          <cell r="N46">
            <v>76.599999999999994</v>
          </cell>
          <cell r="O46">
            <v>71.400000000000006</v>
          </cell>
          <cell r="P46">
            <v>76.599999999999994</v>
          </cell>
          <cell r="Q46">
            <v>71.900000000000006</v>
          </cell>
          <cell r="R46">
            <v>77</v>
          </cell>
        </row>
        <row r="47">
          <cell r="A47">
            <v>58</v>
          </cell>
          <cell r="B47" t="str">
            <v>Ninh Thuận</v>
          </cell>
          <cell r="C47">
            <v>70.2</v>
          </cell>
          <cell r="D47">
            <v>75.599999999999994</v>
          </cell>
          <cell r="E47">
            <v>70.3</v>
          </cell>
          <cell r="F47">
            <v>75.7</v>
          </cell>
          <cell r="G47">
            <v>70.3</v>
          </cell>
          <cell r="H47">
            <v>75.7</v>
          </cell>
          <cell r="I47">
            <v>70.400000000000006</v>
          </cell>
          <cell r="J47">
            <v>75.8</v>
          </cell>
          <cell r="K47">
            <v>70.3</v>
          </cell>
          <cell r="L47">
            <v>75.7</v>
          </cell>
          <cell r="M47">
            <v>70.5</v>
          </cell>
          <cell r="N47">
            <v>75.900000000000006</v>
          </cell>
          <cell r="O47">
            <v>70.5</v>
          </cell>
          <cell r="P47">
            <v>75.900000000000006</v>
          </cell>
          <cell r="Q47">
            <v>71.099999999999994</v>
          </cell>
          <cell r="R47">
            <v>76.400000000000006</v>
          </cell>
        </row>
        <row r="48">
          <cell r="A48">
            <v>60</v>
          </cell>
          <cell r="B48" t="str">
            <v>Bình Thuận</v>
          </cell>
          <cell r="C48">
            <v>71.8</v>
          </cell>
          <cell r="D48">
            <v>76.900000000000006</v>
          </cell>
          <cell r="E48">
            <v>71.900000000000006</v>
          </cell>
          <cell r="F48">
            <v>77</v>
          </cell>
          <cell r="G48">
            <v>71.900000000000006</v>
          </cell>
          <cell r="H48">
            <v>77</v>
          </cell>
          <cell r="I48">
            <v>72</v>
          </cell>
          <cell r="J48">
            <v>77.099999999999994</v>
          </cell>
          <cell r="K48">
            <v>72.099999999999994</v>
          </cell>
          <cell r="L48">
            <v>77.2</v>
          </cell>
          <cell r="M48">
            <v>72.2</v>
          </cell>
          <cell r="N48">
            <v>77.2</v>
          </cell>
          <cell r="O48">
            <v>72.2</v>
          </cell>
          <cell r="P48">
            <v>77.2</v>
          </cell>
          <cell r="Q48">
            <v>72.5</v>
          </cell>
          <cell r="R48">
            <v>77.5</v>
          </cell>
        </row>
        <row r="49">
          <cell r="A49">
            <v>62</v>
          </cell>
          <cell r="B49" t="str">
            <v>Kon Tum</v>
          </cell>
          <cell r="C49">
            <v>63.5</v>
          </cell>
          <cell r="D49">
            <v>69.400000000000006</v>
          </cell>
          <cell r="E49">
            <v>63.6</v>
          </cell>
          <cell r="F49">
            <v>69.599999999999994</v>
          </cell>
          <cell r="G49">
            <v>63.7</v>
          </cell>
          <cell r="H49">
            <v>69.599999999999994</v>
          </cell>
          <cell r="I49">
            <v>63.9</v>
          </cell>
          <cell r="J49">
            <v>69.8</v>
          </cell>
          <cell r="K49">
            <v>64.8</v>
          </cell>
          <cell r="L49">
            <v>70.7</v>
          </cell>
          <cell r="M49">
            <v>65.099999999999994</v>
          </cell>
          <cell r="N49">
            <v>71.099999999999994</v>
          </cell>
          <cell r="O49">
            <v>65.099999999999994</v>
          </cell>
          <cell r="P49">
            <v>71.099999999999994</v>
          </cell>
          <cell r="Q49">
            <v>66.900000000000006</v>
          </cell>
          <cell r="R49">
            <v>72.7</v>
          </cell>
        </row>
        <row r="50">
          <cell r="A50">
            <v>64</v>
          </cell>
          <cell r="B50" t="str">
            <v>Gia Lai</v>
          </cell>
          <cell r="C50">
            <v>66.7</v>
          </cell>
          <cell r="D50">
            <v>72.599999999999994</v>
          </cell>
          <cell r="E50">
            <v>66.900000000000006</v>
          </cell>
          <cell r="F50">
            <v>72.7</v>
          </cell>
          <cell r="G50">
            <v>66.900000000000006</v>
          </cell>
          <cell r="H50">
            <v>72.7</v>
          </cell>
          <cell r="I50">
            <v>67.099999999999994</v>
          </cell>
          <cell r="J50">
            <v>72.900000000000006</v>
          </cell>
          <cell r="K50">
            <v>67.3</v>
          </cell>
          <cell r="L50">
            <v>73</v>
          </cell>
          <cell r="M50">
            <v>68.400000000000006</v>
          </cell>
          <cell r="N50">
            <v>74.099999999999994</v>
          </cell>
          <cell r="O50">
            <v>68.400000000000006</v>
          </cell>
          <cell r="P50">
            <v>74.099999999999994</v>
          </cell>
          <cell r="Q50">
            <v>69.8</v>
          </cell>
          <cell r="R50">
            <v>75.2</v>
          </cell>
        </row>
        <row r="51">
          <cell r="A51">
            <v>66</v>
          </cell>
          <cell r="B51" t="str">
            <v>Đắk Lắk</v>
          </cell>
          <cell r="C51">
            <v>67.5</v>
          </cell>
          <cell r="D51">
            <v>73.2</v>
          </cell>
          <cell r="E51">
            <v>67.599999999999994</v>
          </cell>
          <cell r="F51">
            <v>73.3</v>
          </cell>
          <cell r="G51">
            <v>67.7</v>
          </cell>
          <cell r="H51">
            <v>73.400000000000006</v>
          </cell>
          <cell r="I51">
            <v>67.8</v>
          </cell>
          <cell r="J51">
            <v>73.5</v>
          </cell>
          <cell r="K51">
            <v>68.2</v>
          </cell>
          <cell r="L51">
            <v>73.900000000000006</v>
          </cell>
          <cell r="M51">
            <v>68.7</v>
          </cell>
          <cell r="N51">
            <v>74.3</v>
          </cell>
          <cell r="O51">
            <v>68.7</v>
          </cell>
          <cell r="P51">
            <v>74.3</v>
          </cell>
          <cell r="Q51">
            <v>69.3</v>
          </cell>
          <cell r="R51">
            <v>74.8</v>
          </cell>
        </row>
        <row r="52">
          <cell r="A52">
            <v>67</v>
          </cell>
          <cell r="B52" t="str">
            <v>Đắk Nông</v>
          </cell>
          <cell r="C52">
            <v>66.900000000000006</v>
          </cell>
          <cell r="D52">
            <v>72.7</v>
          </cell>
          <cell r="E52">
            <v>67.099999999999994</v>
          </cell>
          <cell r="F52">
            <v>72.8</v>
          </cell>
          <cell r="G52">
            <v>67.099999999999994</v>
          </cell>
          <cell r="H52">
            <v>72.900000000000006</v>
          </cell>
          <cell r="I52">
            <v>67.2</v>
          </cell>
          <cell r="J52">
            <v>73</v>
          </cell>
          <cell r="K52">
            <v>67.3</v>
          </cell>
          <cell r="L52">
            <v>73.099999999999994</v>
          </cell>
          <cell r="M52">
            <v>67.5</v>
          </cell>
          <cell r="N52">
            <v>73.2</v>
          </cell>
          <cell r="O52">
            <v>67.5</v>
          </cell>
          <cell r="P52">
            <v>73.2</v>
          </cell>
          <cell r="Q52">
            <v>68.900000000000006</v>
          </cell>
          <cell r="R52">
            <v>74.5</v>
          </cell>
        </row>
        <row r="53">
          <cell r="A53">
            <v>68</v>
          </cell>
          <cell r="B53" t="str">
            <v>Lâm Đồng</v>
          </cell>
          <cell r="C53">
            <v>70.2</v>
          </cell>
          <cell r="D53">
            <v>75.599999999999994</v>
          </cell>
          <cell r="E53">
            <v>70.3</v>
          </cell>
          <cell r="F53">
            <v>75.7</v>
          </cell>
          <cell r="G53">
            <v>70.3</v>
          </cell>
          <cell r="H53">
            <v>75.7</v>
          </cell>
          <cell r="I53">
            <v>70.400000000000006</v>
          </cell>
          <cell r="J53">
            <v>75.8</v>
          </cell>
          <cell r="K53">
            <v>70.7</v>
          </cell>
          <cell r="L53">
            <v>76</v>
          </cell>
          <cell r="M53">
            <v>70.7</v>
          </cell>
          <cell r="N53">
            <v>76</v>
          </cell>
          <cell r="O53">
            <v>70.7</v>
          </cell>
          <cell r="P53">
            <v>76</v>
          </cell>
          <cell r="Q53">
            <v>71.2</v>
          </cell>
          <cell r="R53">
            <v>76.5</v>
          </cell>
        </row>
        <row r="54">
          <cell r="A54">
            <v>70</v>
          </cell>
          <cell r="B54" t="str">
            <v>Bình Phước</v>
          </cell>
          <cell r="C54">
            <v>71.099999999999994</v>
          </cell>
          <cell r="D54">
            <v>76.400000000000006</v>
          </cell>
          <cell r="E54">
            <v>71.2</v>
          </cell>
          <cell r="F54">
            <v>76.5</v>
          </cell>
          <cell r="G54">
            <v>71.2</v>
          </cell>
          <cell r="H54">
            <v>76.5</v>
          </cell>
          <cell r="I54">
            <v>71.3</v>
          </cell>
          <cell r="J54">
            <v>76.599999999999994</v>
          </cell>
          <cell r="K54">
            <v>71.400000000000006</v>
          </cell>
          <cell r="L54">
            <v>76.599999999999994</v>
          </cell>
          <cell r="M54">
            <v>71.400000000000006</v>
          </cell>
          <cell r="N54">
            <v>76.7</v>
          </cell>
          <cell r="O54">
            <v>71.400000000000006</v>
          </cell>
          <cell r="P54">
            <v>76.7</v>
          </cell>
          <cell r="Q54">
            <v>71.900000000000006</v>
          </cell>
          <cell r="R54">
            <v>77</v>
          </cell>
        </row>
        <row r="55">
          <cell r="A55">
            <v>72</v>
          </cell>
          <cell r="B55" t="str">
            <v>Tây Ninh</v>
          </cell>
          <cell r="C55">
            <v>72.099999999999994</v>
          </cell>
          <cell r="D55">
            <v>77.2</v>
          </cell>
          <cell r="E55">
            <v>72.2</v>
          </cell>
          <cell r="F55">
            <v>77.2</v>
          </cell>
          <cell r="G55">
            <v>72.3</v>
          </cell>
          <cell r="H55">
            <v>77.3</v>
          </cell>
          <cell r="I55">
            <v>72.400000000000006</v>
          </cell>
          <cell r="J55">
            <v>77.3</v>
          </cell>
          <cell r="K55">
            <v>72.3</v>
          </cell>
          <cell r="L55">
            <v>77.3</v>
          </cell>
          <cell r="M55">
            <v>72.400000000000006</v>
          </cell>
          <cell r="N55">
            <v>77.400000000000006</v>
          </cell>
          <cell r="O55">
            <v>72.400000000000006</v>
          </cell>
          <cell r="P55">
            <v>77.400000000000006</v>
          </cell>
          <cell r="Q55">
            <v>72.7</v>
          </cell>
          <cell r="R55">
            <v>77.599999999999994</v>
          </cell>
        </row>
        <row r="56">
          <cell r="A56">
            <v>74</v>
          </cell>
          <cell r="B56" t="str">
            <v>Bình Dương</v>
          </cell>
          <cell r="C56">
            <v>73.3</v>
          </cell>
          <cell r="D56">
            <v>78.7</v>
          </cell>
          <cell r="E56">
            <v>73.400000000000006</v>
          </cell>
          <cell r="F56">
            <v>78.7</v>
          </cell>
          <cell r="G56">
            <v>73.400000000000006</v>
          </cell>
          <cell r="H56">
            <v>78.7</v>
          </cell>
          <cell r="I56">
            <v>72.099999999999994</v>
          </cell>
          <cell r="J56">
            <v>77.599999999999994</v>
          </cell>
          <cell r="K56">
            <v>72.099999999999994</v>
          </cell>
          <cell r="L56">
            <v>77.599999999999994</v>
          </cell>
          <cell r="M56">
            <v>72.099999999999994</v>
          </cell>
          <cell r="N56">
            <v>77.599999999999994</v>
          </cell>
          <cell r="O56">
            <v>72.099999999999994</v>
          </cell>
          <cell r="P56">
            <v>77.599999999999994</v>
          </cell>
          <cell r="Q56">
            <v>72.099999999999994</v>
          </cell>
          <cell r="R56">
            <v>77.599999999999994</v>
          </cell>
        </row>
        <row r="57">
          <cell r="A57">
            <v>75</v>
          </cell>
          <cell r="B57" t="str">
            <v>Đồng Nai</v>
          </cell>
          <cell r="C57">
            <v>73.900000000000006</v>
          </cell>
          <cell r="D57">
            <v>79.2</v>
          </cell>
          <cell r="E57">
            <v>74</v>
          </cell>
          <cell r="F57">
            <v>79.3</v>
          </cell>
          <cell r="G57">
            <v>74.099999999999994</v>
          </cell>
          <cell r="H57">
            <v>79.3</v>
          </cell>
          <cell r="I57">
            <v>74.099999999999994</v>
          </cell>
          <cell r="J57">
            <v>79.3</v>
          </cell>
          <cell r="K57">
            <v>73.7</v>
          </cell>
          <cell r="L57">
            <v>79</v>
          </cell>
          <cell r="M57">
            <v>73.7</v>
          </cell>
          <cell r="N57">
            <v>79</v>
          </cell>
          <cell r="O57">
            <v>73.7</v>
          </cell>
          <cell r="P57">
            <v>79</v>
          </cell>
          <cell r="Q57">
            <v>73.7</v>
          </cell>
          <cell r="R57">
            <v>79</v>
          </cell>
        </row>
        <row r="58">
          <cell r="A58">
            <v>77</v>
          </cell>
          <cell r="B58" t="str">
            <v>Bà Rịa-Vũng Tàu(***)</v>
          </cell>
          <cell r="C58">
            <v>73.7</v>
          </cell>
          <cell r="D58">
            <v>79</v>
          </cell>
          <cell r="E58">
            <v>73.7</v>
          </cell>
          <cell r="F58">
            <v>79.099999999999994</v>
          </cell>
          <cell r="G58">
            <v>73.8</v>
          </cell>
          <cell r="H58">
            <v>79.099999999999994</v>
          </cell>
          <cell r="I58">
            <v>73.8</v>
          </cell>
          <cell r="J58">
            <v>79.099999999999994</v>
          </cell>
          <cell r="K58">
            <v>73.900000000000006</v>
          </cell>
          <cell r="L58">
            <v>79.2</v>
          </cell>
          <cell r="M58">
            <v>73.8</v>
          </cell>
          <cell r="N58">
            <v>79.099999999999994</v>
          </cell>
          <cell r="O58">
            <v>73.8</v>
          </cell>
          <cell r="P58">
            <v>79.099999999999994</v>
          </cell>
          <cell r="Q58">
            <v>73.8</v>
          </cell>
          <cell r="R58">
            <v>79.099999999999994</v>
          </cell>
        </row>
        <row r="59">
          <cell r="A59">
            <v>79</v>
          </cell>
          <cell r="B59" t="str">
            <v>TP Hồ Chí Minh</v>
          </cell>
          <cell r="C59">
            <v>73.900000000000006</v>
          </cell>
          <cell r="D59">
            <v>79.2</v>
          </cell>
          <cell r="E59">
            <v>74</v>
          </cell>
          <cell r="F59">
            <v>79.2</v>
          </cell>
          <cell r="G59">
            <v>74</v>
          </cell>
          <cell r="H59">
            <v>79.3</v>
          </cell>
          <cell r="I59">
            <v>74.099999999999994</v>
          </cell>
          <cell r="J59">
            <v>79.3</v>
          </cell>
          <cell r="K59">
            <v>73.900000000000006</v>
          </cell>
          <cell r="L59">
            <v>79.2</v>
          </cell>
          <cell r="M59">
            <v>73.7</v>
          </cell>
          <cell r="N59">
            <v>79</v>
          </cell>
          <cell r="O59">
            <v>73.7</v>
          </cell>
          <cell r="P59">
            <v>79</v>
          </cell>
          <cell r="Q59">
            <v>73.900000000000006</v>
          </cell>
          <cell r="R59">
            <v>79.2</v>
          </cell>
        </row>
        <row r="60">
          <cell r="A60">
            <v>80</v>
          </cell>
          <cell r="B60" t="str">
            <v>Long An</v>
          </cell>
          <cell r="C60">
            <v>73.2</v>
          </cell>
          <cell r="D60">
            <v>78.099999999999994</v>
          </cell>
          <cell r="E60">
            <v>73.3</v>
          </cell>
          <cell r="F60">
            <v>78.2</v>
          </cell>
          <cell r="G60">
            <v>73.3</v>
          </cell>
          <cell r="H60">
            <v>78.2</v>
          </cell>
          <cell r="I60">
            <v>73.400000000000006</v>
          </cell>
          <cell r="J60">
            <v>78.3</v>
          </cell>
          <cell r="K60">
            <v>73.2</v>
          </cell>
          <cell r="L60">
            <v>78.099999999999994</v>
          </cell>
          <cell r="M60">
            <v>73.400000000000006</v>
          </cell>
          <cell r="N60">
            <v>78.3</v>
          </cell>
          <cell r="O60">
            <v>73.5</v>
          </cell>
          <cell r="P60">
            <v>78.900000000000006</v>
          </cell>
          <cell r="Q60">
            <v>73.400000000000006</v>
          </cell>
          <cell r="R60">
            <v>78.8</v>
          </cell>
        </row>
        <row r="61">
          <cell r="A61">
            <v>82</v>
          </cell>
          <cell r="B61" t="str">
            <v>Tiền Giang</v>
          </cell>
          <cell r="C61">
            <v>73.400000000000006</v>
          </cell>
          <cell r="D61">
            <v>78.3</v>
          </cell>
          <cell r="E61">
            <v>73.5</v>
          </cell>
          <cell r="F61">
            <v>78.400000000000006</v>
          </cell>
          <cell r="G61">
            <v>73.3</v>
          </cell>
          <cell r="H61">
            <v>78.7</v>
          </cell>
          <cell r="I61">
            <v>73.400000000000006</v>
          </cell>
          <cell r="J61">
            <v>78.7</v>
          </cell>
          <cell r="K61">
            <v>73.5</v>
          </cell>
          <cell r="L61">
            <v>78.900000000000006</v>
          </cell>
          <cell r="M61">
            <v>73.3</v>
          </cell>
          <cell r="N61">
            <v>78.7</v>
          </cell>
          <cell r="O61">
            <v>73.3</v>
          </cell>
          <cell r="P61">
            <v>78.7</v>
          </cell>
          <cell r="Q61">
            <v>73.400000000000006</v>
          </cell>
          <cell r="R61">
            <v>78.7</v>
          </cell>
        </row>
        <row r="62">
          <cell r="A62">
            <v>83</v>
          </cell>
          <cell r="B62" t="str">
            <v>Bến Tre</v>
          </cell>
          <cell r="C62">
            <v>73.099999999999994</v>
          </cell>
          <cell r="D62">
            <v>78</v>
          </cell>
          <cell r="E62">
            <v>73.099999999999994</v>
          </cell>
          <cell r="F62">
            <v>78.099999999999994</v>
          </cell>
          <cell r="G62">
            <v>73.2</v>
          </cell>
          <cell r="H62">
            <v>78.099999999999994</v>
          </cell>
          <cell r="I62">
            <v>73.3</v>
          </cell>
          <cell r="J62">
            <v>78.2</v>
          </cell>
          <cell r="K62">
            <v>73.2</v>
          </cell>
          <cell r="L62">
            <v>78.2</v>
          </cell>
          <cell r="M62">
            <v>73.3</v>
          </cell>
          <cell r="N62">
            <v>78.2</v>
          </cell>
          <cell r="O62">
            <v>73.3</v>
          </cell>
          <cell r="P62">
            <v>78.2</v>
          </cell>
          <cell r="Q62">
            <v>73.400000000000006</v>
          </cell>
          <cell r="R62">
            <v>78.3</v>
          </cell>
        </row>
        <row r="63">
          <cell r="A63">
            <v>84</v>
          </cell>
          <cell r="B63" t="str">
            <v>Trà Vinh</v>
          </cell>
          <cell r="C63">
            <v>71.900000000000006</v>
          </cell>
          <cell r="D63">
            <v>77</v>
          </cell>
          <cell r="E63">
            <v>72</v>
          </cell>
          <cell r="F63">
            <v>77.099999999999994</v>
          </cell>
          <cell r="G63">
            <v>72</v>
          </cell>
          <cell r="H63">
            <v>77.099999999999994</v>
          </cell>
          <cell r="I63">
            <v>72.099999999999994</v>
          </cell>
          <cell r="J63">
            <v>77.2</v>
          </cell>
          <cell r="K63">
            <v>72.3</v>
          </cell>
          <cell r="L63">
            <v>77.3</v>
          </cell>
          <cell r="M63">
            <v>72.2</v>
          </cell>
          <cell r="N63">
            <v>77.2</v>
          </cell>
          <cell r="O63">
            <v>72.2</v>
          </cell>
          <cell r="P63">
            <v>77.2</v>
          </cell>
          <cell r="Q63">
            <v>72.8</v>
          </cell>
          <cell r="R63">
            <v>77.7</v>
          </cell>
        </row>
        <row r="64">
          <cell r="A64">
            <v>86</v>
          </cell>
          <cell r="B64" t="str">
            <v>Vĩnh Long</v>
          </cell>
          <cell r="C64">
            <v>72.900000000000006</v>
          </cell>
          <cell r="D64">
            <v>77.900000000000006</v>
          </cell>
          <cell r="E64">
            <v>73</v>
          </cell>
          <cell r="F64">
            <v>77.900000000000006</v>
          </cell>
          <cell r="G64">
            <v>73</v>
          </cell>
          <cell r="H64">
            <v>78</v>
          </cell>
          <cell r="I64">
            <v>73.099999999999994</v>
          </cell>
          <cell r="J64">
            <v>78</v>
          </cell>
          <cell r="K64">
            <v>73.2</v>
          </cell>
          <cell r="L64">
            <v>78.099999999999994</v>
          </cell>
          <cell r="M64">
            <v>73</v>
          </cell>
          <cell r="N64">
            <v>78</v>
          </cell>
          <cell r="O64">
            <v>73</v>
          </cell>
          <cell r="P64">
            <v>78</v>
          </cell>
          <cell r="Q64">
            <v>73.3</v>
          </cell>
          <cell r="R64">
            <v>78.2</v>
          </cell>
        </row>
        <row r="65">
          <cell r="A65">
            <v>87</v>
          </cell>
          <cell r="B65" t="str">
            <v>Đồng Tháp</v>
          </cell>
          <cell r="C65">
            <v>72.099999999999994</v>
          </cell>
          <cell r="D65">
            <v>77.2</v>
          </cell>
          <cell r="E65">
            <v>72.2</v>
          </cell>
          <cell r="F65">
            <v>77.2</v>
          </cell>
          <cell r="G65">
            <v>72.2</v>
          </cell>
          <cell r="H65">
            <v>77.2</v>
          </cell>
          <cell r="I65">
            <v>72.3</v>
          </cell>
          <cell r="J65">
            <v>77.3</v>
          </cell>
          <cell r="K65">
            <v>72.5</v>
          </cell>
          <cell r="L65">
            <v>77.400000000000006</v>
          </cell>
          <cell r="M65">
            <v>72.3</v>
          </cell>
          <cell r="N65">
            <v>77.3</v>
          </cell>
          <cell r="O65">
            <v>72.3</v>
          </cell>
          <cell r="P65">
            <v>77.3</v>
          </cell>
          <cell r="Q65">
            <v>72.7</v>
          </cell>
          <cell r="R65">
            <v>77.599999999999994</v>
          </cell>
        </row>
        <row r="66">
          <cell r="A66">
            <v>89</v>
          </cell>
          <cell r="B66" t="str">
            <v>An Giang</v>
          </cell>
          <cell r="C66">
            <v>71</v>
          </cell>
          <cell r="D66">
            <v>76.3</v>
          </cell>
          <cell r="E66">
            <v>71</v>
          </cell>
          <cell r="F66">
            <v>76.400000000000006</v>
          </cell>
          <cell r="G66">
            <v>71.099999999999994</v>
          </cell>
          <cell r="H66">
            <v>76.400000000000006</v>
          </cell>
          <cell r="I66">
            <v>71.2</v>
          </cell>
          <cell r="J66">
            <v>76.5</v>
          </cell>
          <cell r="K66">
            <v>71.2</v>
          </cell>
          <cell r="L66">
            <v>76.5</v>
          </cell>
          <cell r="M66">
            <v>71.099999999999994</v>
          </cell>
          <cell r="N66">
            <v>76.400000000000006</v>
          </cell>
          <cell r="O66">
            <v>71.099999999999994</v>
          </cell>
          <cell r="P66">
            <v>76.400000000000006</v>
          </cell>
          <cell r="Q66">
            <v>71.5</v>
          </cell>
          <cell r="R66">
            <v>76.7</v>
          </cell>
        </row>
        <row r="67">
          <cell r="A67">
            <v>91</v>
          </cell>
          <cell r="B67" t="str">
            <v>Kiên Giang</v>
          </cell>
          <cell r="C67">
            <v>71.8</v>
          </cell>
          <cell r="D67">
            <v>76.900000000000006</v>
          </cell>
          <cell r="E67">
            <v>71.900000000000006</v>
          </cell>
          <cell r="F67">
            <v>77</v>
          </cell>
          <cell r="G67">
            <v>71.900000000000006</v>
          </cell>
          <cell r="H67">
            <v>77</v>
          </cell>
          <cell r="I67">
            <v>72</v>
          </cell>
          <cell r="J67">
            <v>77.099999999999994</v>
          </cell>
          <cell r="K67">
            <v>72</v>
          </cell>
          <cell r="L67">
            <v>77.099999999999994</v>
          </cell>
          <cell r="M67">
            <v>72</v>
          </cell>
          <cell r="N67">
            <v>77.099999999999994</v>
          </cell>
          <cell r="O67">
            <v>72</v>
          </cell>
          <cell r="P67">
            <v>77.099999999999994</v>
          </cell>
          <cell r="Q67">
            <v>72.2</v>
          </cell>
          <cell r="R67">
            <v>77.2</v>
          </cell>
        </row>
        <row r="68">
          <cell r="A68">
            <v>92</v>
          </cell>
          <cell r="B68" t="str">
            <v>Cần Thơ</v>
          </cell>
          <cell r="C68">
            <v>73.3</v>
          </cell>
          <cell r="D68">
            <v>78.2</v>
          </cell>
          <cell r="E68">
            <v>73.400000000000006</v>
          </cell>
          <cell r="F68">
            <v>78.3</v>
          </cell>
          <cell r="G68">
            <v>73.400000000000006</v>
          </cell>
          <cell r="H68">
            <v>78.3</v>
          </cell>
          <cell r="I68">
            <v>73.3</v>
          </cell>
          <cell r="J68">
            <v>78.7</v>
          </cell>
          <cell r="K68">
            <v>73.400000000000006</v>
          </cell>
          <cell r="L68">
            <v>78.7</v>
          </cell>
          <cell r="M68">
            <v>73.2</v>
          </cell>
          <cell r="N68">
            <v>78.599999999999994</v>
          </cell>
          <cell r="O68">
            <v>73.2</v>
          </cell>
          <cell r="P68">
            <v>78.599999999999994</v>
          </cell>
          <cell r="Q68">
            <v>73.3</v>
          </cell>
          <cell r="R68">
            <v>78.7</v>
          </cell>
        </row>
        <row r="69">
          <cell r="A69">
            <v>93</v>
          </cell>
          <cell r="B69" t="str">
            <v>Hậu Giang</v>
          </cell>
          <cell r="C69">
            <v>72.900000000000006</v>
          </cell>
          <cell r="D69">
            <v>77.900000000000006</v>
          </cell>
          <cell r="E69">
            <v>73</v>
          </cell>
          <cell r="F69">
            <v>77.900000000000006</v>
          </cell>
          <cell r="G69">
            <v>73</v>
          </cell>
          <cell r="H69">
            <v>78</v>
          </cell>
          <cell r="I69">
            <v>73.099999999999994</v>
          </cell>
          <cell r="J69">
            <v>78.099999999999994</v>
          </cell>
          <cell r="K69">
            <v>73.099999999999994</v>
          </cell>
          <cell r="L69">
            <v>78.099999999999994</v>
          </cell>
          <cell r="M69">
            <v>73.2</v>
          </cell>
          <cell r="N69">
            <v>78.099999999999994</v>
          </cell>
          <cell r="O69">
            <v>73.2</v>
          </cell>
          <cell r="P69">
            <v>78.099999999999994</v>
          </cell>
          <cell r="Q69">
            <v>73.3</v>
          </cell>
          <cell r="R69">
            <v>78.3</v>
          </cell>
        </row>
        <row r="70">
          <cell r="A70">
            <v>94</v>
          </cell>
          <cell r="B70" t="str">
            <v>Sóc Trăng</v>
          </cell>
          <cell r="C70">
            <v>71.5</v>
          </cell>
          <cell r="D70">
            <v>76.7</v>
          </cell>
          <cell r="E70">
            <v>71.599999999999994</v>
          </cell>
          <cell r="F70">
            <v>76.8</v>
          </cell>
          <cell r="G70">
            <v>71.599999999999994</v>
          </cell>
          <cell r="H70">
            <v>76.8</v>
          </cell>
          <cell r="I70">
            <v>71.7</v>
          </cell>
          <cell r="J70">
            <v>76.900000000000006</v>
          </cell>
          <cell r="K70">
            <v>71.900000000000006</v>
          </cell>
          <cell r="L70">
            <v>77</v>
          </cell>
          <cell r="M70">
            <v>71.8</v>
          </cell>
          <cell r="N70">
            <v>76.900000000000006</v>
          </cell>
          <cell r="O70">
            <v>71.8</v>
          </cell>
          <cell r="P70">
            <v>76.900000000000006</v>
          </cell>
          <cell r="Q70">
            <v>72.2</v>
          </cell>
          <cell r="R70">
            <v>77.2</v>
          </cell>
        </row>
        <row r="71">
          <cell r="A71">
            <v>95</v>
          </cell>
          <cell r="B71" t="str">
            <v>Bạc Liêu</v>
          </cell>
          <cell r="C71">
            <v>72</v>
          </cell>
          <cell r="D71">
            <v>77.099999999999994</v>
          </cell>
          <cell r="E71">
            <v>72.099999999999994</v>
          </cell>
          <cell r="F71">
            <v>77.099999999999994</v>
          </cell>
          <cell r="G71">
            <v>72.099999999999994</v>
          </cell>
          <cell r="H71">
            <v>77.2</v>
          </cell>
          <cell r="I71">
            <v>72.2</v>
          </cell>
          <cell r="J71">
            <v>77.2</v>
          </cell>
          <cell r="K71">
            <v>72.3</v>
          </cell>
          <cell r="L71">
            <v>77.3</v>
          </cell>
          <cell r="M71">
            <v>72.2</v>
          </cell>
          <cell r="N71">
            <v>77.2</v>
          </cell>
          <cell r="O71">
            <v>72.2</v>
          </cell>
          <cell r="P71">
            <v>77.2</v>
          </cell>
          <cell r="Q71">
            <v>72.7</v>
          </cell>
          <cell r="R71">
            <v>77.599999999999994</v>
          </cell>
        </row>
        <row r="72">
          <cell r="A72">
            <v>96</v>
          </cell>
          <cell r="B72" t="str">
            <v>Cà Mau</v>
          </cell>
          <cell r="C72">
            <v>72.400000000000006</v>
          </cell>
          <cell r="D72">
            <v>77.400000000000006</v>
          </cell>
          <cell r="E72">
            <v>72.400000000000006</v>
          </cell>
          <cell r="F72">
            <v>77.400000000000006</v>
          </cell>
          <cell r="G72">
            <v>72.5</v>
          </cell>
          <cell r="H72">
            <v>77.400000000000006</v>
          </cell>
          <cell r="I72">
            <v>72.599999999999994</v>
          </cell>
          <cell r="J72">
            <v>77.5</v>
          </cell>
          <cell r="K72">
            <v>72.900000000000006</v>
          </cell>
          <cell r="L72">
            <v>77.8</v>
          </cell>
          <cell r="M72">
            <v>72.7</v>
          </cell>
          <cell r="N72">
            <v>77.7</v>
          </cell>
          <cell r="O72">
            <v>72.7</v>
          </cell>
          <cell r="P72">
            <v>77.7</v>
          </cell>
          <cell r="Q72">
            <v>73</v>
          </cell>
          <cell r="R72">
            <v>78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99.3</v>
          </cell>
          <cell r="D9">
            <v>97.4</v>
          </cell>
          <cell r="E9">
            <v>100</v>
          </cell>
          <cell r="F9">
            <v>98.8</v>
          </cell>
          <cell r="G9">
            <v>100</v>
          </cell>
          <cell r="H9">
            <v>99.8</v>
          </cell>
        </row>
        <row r="10">
          <cell r="A10" t="str">
            <v>02</v>
          </cell>
          <cell r="B10" t="str">
            <v>Hà Giang</v>
          </cell>
          <cell r="C10">
            <v>79.8</v>
          </cell>
          <cell r="D10">
            <v>73.3</v>
          </cell>
          <cell r="E10">
            <v>89.1</v>
          </cell>
          <cell r="F10">
            <v>87.4</v>
          </cell>
          <cell r="G10">
            <v>87.6</v>
          </cell>
          <cell r="H10">
            <v>89.5</v>
          </cell>
        </row>
        <row r="11">
          <cell r="A11" t="str">
            <v>04</v>
          </cell>
          <cell r="B11" t="str">
            <v>Cao Bằng</v>
          </cell>
          <cell r="C11">
            <v>88.5</v>
          </cell>
          <cell r="D11">
            <v>80.099999999999994</v>
          </cell>
          <cell r="E11">
            <v>87.5</v>
          </cell>
          <cell r="F11">
            <v>89</v>
          </cell>
          <cell r="G11">
            <v>92.4</v>
          </cell>
          <cell r="H11">
            <v>91.8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</row>
        <row r="13">
          <cell r="A13">
            <v>8</v>
          </cell>
          <cell r="B13" t="str">
            <v>Tuyên Quang</v>
          </cell>
          <cell r="C13"/>
          <cell r="D13"/>
          <cell r="E13"/>
          <cell r="F13"/>
          <cell r="G13"/>
          <cell r="H13"/>
        </row>
        <row r="14">
          <cell r="A14">
            <v>10</v>
          </cell>
          <cell r="B14" t="str">
            <v>Lào Cai</v>
          </cell>
          <cell r="C14">
            <v>92.4</v>
          </cell>
          <cell r="D14">
            <v>87.2</v>
          </cell>
          <cell r="E14">
            <v>87.7</v>
          </cell>
          <cell r="F14">
            <v>93.9</v>
          </cell>
          <cell r="G14">
            <v>96.6</v>
          </cell>
          <cell r="H14">
            <v>88.8</v>
          </cell>
        </row>
        <row r="15">
          <cell r="A15">
            <v>11</v>
          </cell>
          <cell r="B15" t="str">
            <v>Điện Biên</v>
          </cell>
          <cell r="C15">
            <v>86</v>
          </cell>
          <cell r="D15">
            <v>83.8</v>
          </cell>
          <cell r="E15">
            <v>90.9</v>
          </cell>
          <cell r="F15">
            <v>91.9</v>
          </cell>
          <cell r="G15">
            <v>88.4</v>
          </cell>
          <cell r="H15">
            <v>90.6</v>
          </cell>
        </row>
        <row r="16">
          <cell r="A16">
            <v>12</v>
          </cell>
          <cell r="B16" t="str">
            <v>Lai Châu</v>
          </cell>
          <cell r="C16">
            <v>62.1</v>
          </cell>
          <cell r="D16">
            <v>65.099999999999994</v>
          </cell>
          <cell r="E16">
            <v>76.599999999999994</v>
          </cell>
          <cell r="F16">
            <v>81.3</v>
          </cell>
          <cell r="G16">
            <v>76.2</v>
          </cell>
          <cell r="H16">
            <v>83.4</v>
          </cell>
        </row>
        <row r="17">
          <cell r="A17">
            <v>14</v>
          </cell>
          <cell r="B17" t="str">
            <v>Sơn La</v>
          </cell>
          <cell r="C17">
            <v>76.8</v>
          </cell>
          <cell r="D17">
            <v>74.8</v>
          </cell>
          <cell r="E17">
            <v>81.2</v>
          </cell>
          <cell r="F17">
            <v>87.2</v>
          </cell>
          <cell r="G17">
            <v>95</v>
          </cell>
          <cell r="H17">
            <v>95.2</v>
          </cell>
        </row>
        <row r="18">
          <cell r="A18">
            <v>15</v>
          </cell>
          <cell r="B18" t="str">
            <v>Yên Bái</v>
          </cell>
          <cell r="C18">
            <v>82.4</v>
          </cell>
          <cell r="D18">
            <v>86.7</v>
          </cell>
          <cell r="E18">
            <v>83.8</v>
          </cell>
          <cell r="F18">
            <v>91.6</v>
          </cell>
          <cell r="G18">
            <v>90.4</v>
          </cell>
          <cell r="H18">
            <v>92.8</v>
          </cell>
        </row>
        <row r="19">
          <cell r="A19">
            <v>17</v>
          </cell>
          <cell r="B19" t="str">
            <v>Hoà Bình</v>
          </cell>
          <cell r="C19">
            <v>98.2</v>
          </cell>
          <cell r="D19">
            <v>98</v>
          </cell>
          <cell r="E19">
            <v>100</v>
          </cell>
          <cell r="F19">
            <v>98.8</v>
          </cell>
          <cell r="G19">
            <v>99.8</v>
          </cell>
          <cell r="H19">
            <v>99.7</v>
          </cell>
        </row>
        <row r="20">
          <cell r="A20">
            <v>19</v>
          </cell>
          <cell r="B20" t="str">
            <v>Thái Nguyên</v>
          </cell>
          <cell r="C20">
            <v>99.8</v>
          </cell>
          <cell r="D20">
            <v>97.9</v>
          </cell>
          <cell r="E20">
            <v>96.1</v>
          </cell>
          <cell r="F20">
            <v>98.6</v>
          </cell>
          <cell r="G20">
            <v>100</v>
          </cell>
          <cell r="H20">
            <v>100</v>
          </cell>
        </row>
        <row r="21">
          <cell r="A21">
            <v>20</v>
          </cell>
          <cell r="B21" t="str">
            <v>Lạng Sơn</v>
          </cell>
          <cell r="C21">
            <v>97.8</v>
          </cell>
          <cell r="D21">
            <v>99</v>
          </cell>
          <cell r="E21">
            <v>98.8</v>
          </cell>
          <cell r="F21">
            <v>99.7</v>
          </cell>
          <cell r="G21">
            <v>99.8</v>
          </cell>
          <cell r="H21">
            <v>100</v>
          </cell>
        </row>
        <row r="22">
          <cell r="A22">
            <v>22</v>
          </cell>
          <cell r="B22" t="str">
            <v>Quảng Ninh</v>
          </cell>
          <cell r="C22">
            <v>99.3</v>
          </cell>
          <cell r="D22">
            <v>98.4</v>
          </cell>
          <cell r="E22">
            <v>100</v>
          </cell>
          <cell r="F22">
            <v>98</v>
          </cell>
          <cell r="G22">
            <v>100</v>
          </cell>
          <cell r="H22">
            <v>99.7</v>
          </cell>
        </row>
        <row r="23">
          <cell r="A23">
            <v>24</v>
          </cell>
          <cell r="B23" t="str">
            <v>Bắc Giang</v>
          </cell>
          <cell r="C23">
            <v>100</v>
          </cell>
          <cell r="D23">
            <v>97.9</v>
          </cell>
          <cell r="E23">
            <v>99.7</v>
          </cell>
          <cell r="F23">
            <v>99.9</v>
          </cell>
          <cell r="G23">
            <v>100</v>
          </cell>
          <cell r="H23">
            <v>100</v>
          </cell>
        </row>
        <row r="24">
          <cell r="A24">
            <v>25</v>
          </cell>
          <cell r="B24" t="str">
            <v>Phú Thọ</v>
          </cell>
          <cell r="C24">
            <v>98.4</v>
          </cell>
          <cell r="D24">
            <v>97.9</v>
          </cell>
          <cell r="E24">
            <v>100</v>
          </cell>
          <cell r="F24">
            <v>99.3</v>
          </cell>
          <cell r="G24">
            <v>100</v>
          </cell>
          <cell r="H24">
            <v>100</v>
          </cell>
        </row>
        <row r="25">
          <cell r="A25">
            <v>26</v>
          </cell>
          <cell r="B25" t="str">
            <v>Vĩnh Phúc</v>
          </cell>
          <cell r="C25">
            <v>99.2</v>
          </cell>
          <cell r="D25">
            <v>98.7</v>
          </cell>
          <cell r="E25">
            <v>100</v>
          </cell>
          <cell r="F25">
            <v>99.7</v>
          </cell>
          <cell r="G25">
            <v>100</v>
          </cell>
          <cell r="H25">
            <v>100</v>
          </cell>
        </row>
        <row r="26">
          <cell r="A26">
            <v>27</v>
          </cell>
          <cell r="B26" t="str">
            <v>Bắc Ninh</v>
          </cell>
          <cell r="C26">
            <v>100</v>
          </cell>
          <cell r="D26">
            <v>98.7</v>
          </cell>
          <cell r="E26">
            <v>100</v>
          </cell>
          <cell r="F26">
            <v>99</v>
          </cell>
          <cell r="G26">
            <v>99.8</v>
          </cell>
          <cell r="H26">
            <v>100</v>
          </cell>
        </row>
        <row r="27">
          <cell r="A27">
            <v>30</v>
          </cell>
          <cell r="B27" t="str">
            <v>Hải Dương</v>
          </cell>
          <cell r="C27">
            <v>99.5</v>
          </cell>
          <cell r="D27">
            <v>96</v>
          </cell>
          <cell r="E27">
            <v>100</v>
          </cell>
          <cell r="F27">
            <v>98.9</v>
          </cell>
          <cell r="G27">
            <v>99.1</v>
          </cell>
          <cell r="H27">
            <v>99.2</v>
          </cell>
        </row>
        <row r="28">
          <cell r="A28">
            <v>31</v>
          </cell>
          <cell r="B28" t="str">
            <v>Hải Phòng</v>
          </cell>
          <cell r="C28">
            <v>100</v>
          </cell>
          <cell r="D28">
            <v>98.9</v>
          </cell>
          <cell r="E28">
            <v>100</v>
          </cell>
          <cell r="F28">
            <v>98.6</v>
          </cell>
          <cell r="G28">
            <v>99.7</v>
          </cell>
          <cell r="H28">
            <v>99.6</v>
          </cell>
        </row>
        <row r="29">
          <cell r="A29">
            <v>33</v>
          </cell>
          <cell r="B29" t="str">
            <v>Hưng Yên</v>
          </cell>
          <cell r="C29">
            <v>99.8</v>
          </cell>
          <cell r="D29">
            <v>100</v>
          </cell>
          <cell r="E29">
            <v>100</v>
          </cell>
          <cell r="F29">
            <v>99.9</v>
          </cell>
          <cell r="G29">
            <v>99.5</v>
          </cell>
          <cell r="H29">
            <v>99.3</v>
          </cell>
        </row>
        <row r="30">
          <cell r="A30">
            <v>34</v>
          </cell>
          <cell r="B30" t="str">
            <v>Thái Bình</v>
          </cell>
          <cell r="C30">
            <v>98.5</v>
          </cell>
          <cell r="D30">
            <v>98</v>
          </cell>
          <cell r="E30">
            <v>100</v>
          </cell>
          <cell r="F30">
            <v>100</v>
          </cell>
          <cell r="G30">
            <v>99</v>
          </cell>
          <cell r="H30">
            <v>100</v>
          </cell>
        </row>
        <row r="31">
          <cell r="A31">
            <v>35</v>
          </cell>
          <cell r="B31" t="str">
            <v>Hà Nam</v>
          </cell>
          <cell r="C31">
            <v>100</v>
          </cell>
          <cell r="D31">
            <v>98.4</v>
          </cell>
          <cell r="E31">
            <v>99.6</v>
          </cell>
          <cell r="F31">
            <v>99.9</v>
          </cell>
          <cell r="G31">
            <v>100</v>
          </cell>
          <cell r="H31">
            <v>100</v>
          </cell>
        </row>
        <row r="32">
          <cell r="A32">
            <v>36</v>
          </cell>
          <cell r="B32" t="str">
            <v>Nam Định</v>
          </cell>
          <cell r="C32">
            <v>99.3</v>
          </cell>
          <cell r="D32">
            <v>99.3</v>
          </cell>
          <cell r="E32">
            <v>100</v>
          </cell>
          <cell r="F32">
            <v>100</v>
          </cell>
          <cell r="G32">
            <v>100</v>
          </cell>
          <cell r="H32">
            <v>100</v>
          </cell>
        </row>
        <row r="33">
          <cell r="A33">
            <v>37</v>
          </cell>
          <cell r="B33" t="str">
            <v>Ninh Bình</v>
          </cell>
          <cell r="C33">
            <v>98.2</v>
          </cell>
          <cell r="D33">
            <v>98.1</v>
          </cell>
          <cell r="E33">
            <v>100</v>
          </cell>
          <cell r="F33">
            <v>100</v>
          </cell>
          <cell r="G33">
            <v>100</v>
          </cell>
          <cell r="H33">
            <v>100</v>
          </cell>
        </row>
        <row r="34">
          <cell r="A34">
            <v>38</v>
          </cell>
          <cell r="B34" t="str">
            <v>Thanh Hoá</v>
          </cell>
          <cell r="C34">
            <v>98.4</v>
          </cell>
          <cell r="D34">
            <v>98.5</v>
          </cell>
          <cell r="E34">
            <v>100</v>
          </cell>
          <cell r="F34">
            <v>99.5</v>
          </cell>
          <cell r="G34">
            <v>100</v>
          </cell>
          <cell r="H34">
            <v>99.7</v>
          </cell>
        </row>
        <row r="35">
          <cell r="A35">
            <v>40</v>
          </cell>
          <cell r="B35" t="str">
            <v>Nghệ An</v>
          </cell>
          <cell r="C35">
            <v>98.9</v>
          </cell>
          <cell r="D35">
            <v>98</v>
          </cell>
          <cell r="E35">
            <v>99</v>
          </cell>
          <cell r="F35">
            <v>99.3</v>
          </cell>
          <cell r="G35">
            <v>100</v>
          </cell>
          <cell r="H35">
            <v>98.7</v>
          </cell>
        </row>
        <row r="36">
          <cell r="A36">
            <v>42</v>
          </cell>
          <cell r="B36" t="str">
            <v>Hà Tĩnh</v>
          </cell>
          <cell r="C36">
            <v>100</v>
          </cell>
          <cell r="D36">
            <v>95.5</v>
          </cell>
          <cell r="E36">
            <v>99.6</v>
          </cell>
          <cell r="F36">
            <v>99.5</v>
          </cell>
          <cell r="G36">
            <v>99.1</v>
          </cell>
          <cell r="H36">
            <v>99.7</v>
          </cell>
        </row>
        <row r="37">
          <cell r="A37">
            <v>44</v>
          </cell>
          <cell r="B37" t="str">
            <v>Quảng Bình</v>
          </cell>
          <cell r="C37">
            <v>98.8</v>
          </cell>
          <cell r="D37">
            <v>98</v>
          </cell>
          <cell r="E37">
            <v>99.6</v>
          </cell>
          <cell r="F37">
            <v>99.6</v>
          </cell>
          <cell r="G37">
            <v>100</v>
          </cell>
          <cell r="H37">
            <v>100</v>
          </cell>
        </row>
        <row r="38">
          <cell r="A38">
            <v>45</v>
          </cell>
          <cell r="B38" t="str">
            <v>Quảng Trị</v>
          </cell>
          <cell r="C38">
            <v>98.3</v>
          </cell>
          <cell r="D38">
            <v>97.5</v>
          </cell>
          <cell r="E38">
            <v>100</v>
          </cell>
          <cell r="F38">
            <v>99.8</v>
          </cell>
          <cell r="G38">
            <v>100</v>
          </cell>
          <cell r="H38">
            <v>99.8</v>
          </cell>
        </row>
        <row r="39">
          <cell r="A39">
            <v>46</v>
          </cell>
          <cell r="B39" t="str">
            <v>Thừa Thiên Huế</v>
          </cell>
          <cell r="C39">
            <v>99.6</v>
          </cell>
          <cell r="D39">
            <v>98.3</v>
          </cell>
          <cell r="E39">
            <v>100</v>
          </cell>
          <cell r="F39">
            <v>99.3</v>
          </cell>
          <cell r="G39">
            <v>100</v>
          </cell>
          <cell r="H39">
            <v>99.8</v>
          </cell>
        </row>
        <row r="40">
          <cell r="A40">
            <v>48</v>
          </cell>
          <cell r="B40" t="str">
            <v>Đà Nẵng</v>
          </cell>
          <cell r="C40">
            <v>99.7</v>
          </cell>
          <cell r="D40">
            <v>100</v>
          </cell>
          <cell r="E40">
            <v>100</v>
          </cell>
          <cell r="F40">
            <v>99.4</v>
          </cell>
          <cell r="G40">
            <v>100</v>
          </cell>
          <cell r="H40">
            <v>99.8</v>
          </cell>
        </row>
        <row r="41">
          <cell r="A41">
            <v>49</v>
          </cell>
          <cell r="B41" t="str">
            <v>Quảng Nam</v>
          </cell>
          <cell r="C41">
            <v>99.5</v>
          </cell>
          <cell r="D41">
            <v>97.4</v>
          </cell>
          <cell r="E41">
            <v>95.1</v>
          </cell>
          <cell r="F41">
            <v>97.6</v>
          </cell>
          <cell r="G41">
            <v>99</v>
          </cell>
          <cell r="H41">
            <v>99.1</v>
          </cell>
        </row>
        <row r="42">
          <cell r="A42">
            <v>51</v>
          </cell>
          <cell r="B42" t="str">
            <v>Quảng Ngãi</v>
          </cell>
          <cell r="C42">
            <v>96</v>
          </cell>
          <cell r="D42">
            <v>94.2</v>
          </cell>
          <cell r="E42">
            <v>92.1</v>
          </cell>
          <cell r="F42">
            <v>98.3</v>
          </cell>
          <cell r="G42">
            <v>96.4</v>
          </cell>
          <cell r="H42">
            <v>96.7</v>
          </cell>
        </row>
        <row r="43">
          <cell r="A43">
            <v>52</v>
          </cell>
          <cell r="B43" t="str">
            <v>Bình Định</v>
          </cell>
          <cell r="C43">
            <v>99.7</v>
          </cell>
          <cell r="D43">
            <v>96.2</v>
          </cell>
          <cell r="E43">
            <v>100</v>
          </cell>
          <cell r="F43">
            <v>99.9</v>
          </cell>
          <cell r="G43">
            <v>100</v>
          </cell>
          <cell r="H43">
            <v>100</v>
          </cell>
        </row>
        <row r="44">
          <cell r="A44">
            <v>54</v>
          </cell>
          <cell r="B44" t="str">
            <v>Phú Yên</v>
          </cell>
          <cell r="C44">
            <v>99.5</v>
          </cell>
          <cell r="D44">
            <v>99.3</v>
          </cell>
          <cell r="E44">
            <v>100</v>
          </cell>
          <cell r="F44">
            <v>99.9</v>
          </cell>
          <cell r="G44">
            <v>99.8</v>
          </cell>
          <cell r="H44">
            <v>99.7</v>
          </cell>
        </row>
        <row r="45">
          <cell r="A45">
            <v>56</v>
          </cell>
          <cell r="B45" t="str">
            <v>Khánh Hoà</v>
          </cell>
          <cell r="C45">
            <v>98.3</v>
          </cell>
          <cell r="D45">
            <v>99.5</v>
          </cell>
          <cell r="E45">
            <v>99.2</v>
          </cell>
          <cell r="F45">
            <v>98.4</v>
          </cell>
          <cell r="G45">
            <v>100</v>
          </cell>
          <cell r="H45">
            <v>99.7</v>
          </cell>
        </row>
        <row r="46">
          <cell r="A46">
            <v>58</v>
          </cell>
          <cell r="B46" t="str">
            <v>Ninh Thuận</v>
          </cell>
          <cell r="C46">
            <v>99.2</v>
          </cell>
          <cell r="D46">
            <v>97.8</v>
          </cell>
          <cell r="E46">
            <v>100</v>
          </cell>
          <cell r="F46">
            <v>98.3</v>
          </cell>
          <cell r="G46">
            <v>98.7</v>
          </cell>
          <cell r="H46">
            <v>97.8</v>
          </cell>
        </row>
        <row r="47">
          <cell r="A47">
            <v>60</v>
          </cell>
          <cell r="B47" t="str">
            <v>Bình Thuận</v>
          </cell>
          <cell r="C47">
            <v>99.7</v>
          </cell>
          <cell r="D47">
            <v>99.3</v>
          </cell>
          <cell r="E47">
            <v>97.6</v>
          </cell>
          <cell r="F47">
            <v>99.6</v>
          </cell>
          <cell r="G47">
            <v>100</v>
          </cell>
          <cell r="H47">
            <v>100</v>
          </cell>
        </row>
        <row r="48">
          <cell r="A48">
            <v>62</v>
          </cell>
          <cell r="B48" t="str">
            <v>Kon Tum</v>
          </cell>
          <cell r="C48">
            <v>85</v>
          </cell>
          <cell r="D48">
            <v>94.8</v>
          </cell>
          <cell r="E48">
            <v>93</v>
          </cell>
          <cell r="F48">
            <v>97.8</v>
          </cell>
          <cell r="G48">
            <v>95.4</v>
          </cell>
          <cell r="H48">
            <v>92.4</v>
          </cell>
        </row>
        <row r="49">
          <cell r="A49">
            <v>64</v>
          </cell>
          <cell r="B49" t="str">
            <v>Gia Lai</v>
          </cell>
          <cell r="C49">
            <v>93.6</v>
          </cell>
          <cell r="D49">
            <v>92.9</v>
          </cell>
          <cell r="E49">
            <v>98</v>
          </cell>
          <cell r="F49">
            <v>95.7</v>
          </cell>
          <cell r="G49">
            <v>92.9</v>
          </cell>
          <cell r="H49">
            <v>94.1</v>
          </cell>
        </row>
        <row r="50">
          <cell r="A50">
            <v>66</v>
          </cell>
          <cell r="B50" t="str">
            <v>Đắk Lắk</v>
          </cell>
          <cell r="C50">
            <v>98.7</v>
          </cell>
          <cell r="D50">
            <v>93.4</v>
          </cell>
          <cell r="E50">
            <v>96.4</v>
          </cell>
          <cell r="F50">
            <v>98.4</v>
          </cell>
          <cell r="G50">
            <v>99.4</v>
          </cell>
          <cell r="H50">
            <v>96</v>
          </cell>
        </row>
        <row r="51">
          <cell r="A51">
            <v>67</v>
          </cell>
          <cell r="B51" t="str">
            <v>Đắk Nông</v>
          </cell>
          <cell r="C51">
            <v>96.8</v>
          </cell>
          <cell r="D51">
            <v>91.5</v>
          </cell>
          <cell r="E51">
            <v>97.2</v>
          </cell>
          <cell r="F51">
            <v>96.8</v>
          </cell>
          <cell r="G51">
            <v>96.3</v>
          </cell>
          <cell r="H51">
            <v>97.3</v>
          </cell>
        </row>
        <row r="52">
          <cell r="A52">
            <v>68</v>
          </cell>
          <cell r="B52" t="str">
            <v>Lâm Đồng</v>
          </cell>
          <cell r="C52">
            <v>100</v>
          </cell>
          <cell r="D52">
            <v>97.7</v>
          </cell>
          <cell r="E52">
            <v>100</v>
          </cell>
          <cell r="F52">
            <v>99.5</v>
          </cell>
          <cell r="G52">
            <v>99.4</v>
          </cell>
          <cell r="H52">
            <v>98.7</v>
          </cell>
        </row>
        <row r="53">
          <cell r="A53">
            <v>70</v>
          </cell>
          <cell r="B53" t="str">
            <v>Bình Phước</v>
          </cell>
          <cell r="C53">
            <v>99.3</v>
          </cell>
          <cell r="D53">
            <v>96.3</v>
          </cell>
          <cell r="E53">
            <v>98.9</v>
          </cell>
          <cell r="F53">
            <v>98.6</v>
          </cell>
          <cell r="G53">
            <v>99.8</v>
          </cell>
          <cell r="H53">
            <v>99.7</v>
          </cell>
        </row>
        <row r="54">
          <cell r="A54">
            <v>72</v>
          </cell>
          <cell r="B54" t="str">
            <v>Tây Ninh</v>
          </cell>
          <cell r="C54">
            <v>100</v>
          </cell>
          <cell r="D54">
            <v>99.5</v>
          </cell>
          <cell r="E54">
            <v>100</v>
          </cell>
          <cell r="F54">
            <v>98.9</v>
          </cell>
          <cell r="G54">
            <v>99.6</v>
          </cell>
          <cell r="H54">
            <v>100</v>
          </cell>
        </row>
        <row r="55">
          <cell r="A55">
            <v>74</v>
          </cell>
          <cell r="B55" t="str">
            <v>Bình Dương</v>
          </cell>
          <cell r="C55">
            <v>100</v>
          </cell>
          <cell r="D55">
            <v>99.7</v>
          </cell>
          <cell r="E55">
            <v>100</v>
          </cell>
          <cell r="F55">
            <v>99.1</v>
          </cell>
          <cell r="G55">
            <v>100</v>
          </cell>
          <cell r="H55">
            <v>100</v>
          </cell>
        </row>
        <row r="56">
          <cell r="A56">
            <v>75</v>
          </cell>
          <cell r="B56" t="str">
            <v>Đồng Nai</v>
          </cell>
          <cell r="C56">
            <v>99.8</v>
          </cell>
          <cell r="D56">
            <v>100</v>
          </cell>
          <cell r="E56">
            <v>98.7</v>
          </cell>
          <cell r="F56">
            <v>98.2</v>
          </cell>
          <cell r="G56">
            <v>99.6</v>
          </cell>
          <cell r="H56">
            <v>100</v>
          </cell>
        </row>
        <row r="57">
          <cell r="A57">
            <v>77</v>
          </cell>
          <cell r="B57" t="str">
            <v>Bà Rịa-Vũng Tàu(***)</v>
          </cell>
          <cell r="C57">
            <v>99.3</v>
          </cell>
          <cell r="D57">
            <v>99.6</v>
          </cell>
          <cell r="E57">
            <v>100</v>
          </cell>
          <cell r="F57">
            <v>98.1</v>
          </cell>
          <cell r="G57">
            <v>100</v>
          </cell>
          <cell r="H57">
            <v>99</v>
          </cell>
        </row>
        <row r="58">
          <cell r="A58">
            <v>79</v>
          </cell>
          <cell r="B58" t="str">
            <v>TP Hồ Chí Minh</v>
          </cell>
          <cell r="C58">
            <v>99.4</v>
          </cell>
          <cell r="D58">
            <v>99.3</v>
          </cell>
          <cell r="E58">
            <v>100</v>
          </cell>
          <cell r="F58">
            <v>98.6</v>
          </cell>
          <cell r="G58">
            <v>100</v>
          </cell>
          <cell r="H58">
            <v>99.5</v>
          </cell>
        </row>
        <row r="59">
          <cell r="A59">
            <v>80</v>
          </cell>
          <cell r="B59" t="str">
            <v>Long An</v>
          </cell>
          <cell r="C59">
            <v>100</v>
          </cell>
          <cell r="D59">
            <v>98.8</v>
          </cell>
          <cell r="E59">
            <v>100</v>
          </cell>
          <cell r="F59">
            <v>96.9</v>
          </cell>
          <cell r="G59">
            <v>99.9</v>
          </cell>
          <cell r="H59">
            <v>99.5</v>
          </cell>
        </row>
        <row r="60">
          <cell r="A60">
            <v>82</v>
          </cell>
          <cell r="B60" t="str">
            <v>Tiền Giang</v>
          </cell>
          <cell r="C60">
            <v>100</v>
          </cell>
          <cell r="D60">
            <v>96.3</v>
          </cell>
          <cell r="E60">
            <v>98.7</v>
          </cell>
          <cell r="F60">
            <v>99.7</v>
          </cell>
          <cell r="G60">
            <v>100</v>
          </cell>
          <cell r="H60">
            <v>98.6</v>
          </cell>
        </row>
        <row r="61">
          <cell r="A61">
            <v>83</v>
          </cell>
          <cell r="B61" t="str">
            <v>Bến Tre</v>
          </cell>
          <cell r="C61">
            <v>100</v>
          </cell>
          <cell r="D61">
            <v>97.4</v>
          </cell>
          <cell r="E61">
            <v>99.4</v>
          </cell>
          <cell r="F61">
            <v>100</v>
          </cell>
          <cell r="G61">
            <v>100</v>
          </cell>
          <cell r="H61">
            <v>98.2</v>
          </cell>
        </row>
        <row r="62">
          <cell r="A62">
            <v>84</v>
          </cell>
          <cell r="B62" t="str">
            <v>Trà Vinh</v>
          </cell>
          <cell r="C62">
            <v>100</v>
          </cell>
          <cell r="D62">
            <v>100</v>
          </cell>
          <cell r="E62">
            <v>100</v>
          </cell>
          <cell r="F62">
            <v>98.7</v>
          </cell>
          <cell r="G62">
            <v>100</v>
          </cell>
          <cell r="H62">
            <v>99.6</v>
          </cell>
        </row>
        <row r="63">
          <cell r="A63">
            <v>86</v>
          </cell>
          <cell r="B63" t="str">
            <v>Vĩnh Long</v>
          </cell>
          <cell r="C63">
            <v>100</v>
          </cell>
          <cell r="D63">
            <v>98.3</v>
          </cell>
          <cell r="E63">
            <v>100</v>
          </cell>
          <cell r="F63">
            <v>99.4</v>
          </cell>
          <cell r="G63">
            <v>100</v>
          </cell>
          <cell r="H63">
            <v>99.6</v>
          </cell>
        </row>
        <row r="64">
          <cell r="A64">
            <v>87</v>
          </cell>
          <cell r="B64" t="str">
            <v>Đồng Tháp</v>
          </cell>
          <cell r="C64">
            <v>99.4</v>
          </cell>
          <cell r="D64">
            <v>100</v>
          </cell>
          <cell r="E64">
            <v>100</v>
          </cell>
          <cell r="F64">
            <v>97.7</v>
          </cell>
          <cell r="G64">
            <v>99</v>
          </cell>
          <cell r="H64">
            <v>100</v>
          </cell>
        </row>
        <row r="65">
          <cell r="A65">
            <v>89</v>
          </cell>
          <cell r="B65" t="str">
            <v>An Giang</v>
          </cell>
          <cell r="C65">
            <v>99.3</v>
          </cell>
          <cell r="D65">
            <v>98.7</v>
          </cell>
          <cell r="E65">
            <v>99.4</v>
          </cell>
          <cell r="F65">
            <v>97.9</v>
          </cell>
          <cell r="G65">
            <v>100</v>
          </cell>
          <cell r="H65">
            <v>100</v>
          </cell>
        </row>
        <row r="66">
          <cell r="A66">
            <v>91</v>
          </cell>
          <cell r="B66" t="str">
            <v>Kiên Giang</v>
          </cell>
          <cell r="C66">
            <v>98.9</v>
          </cell>
          <cell r="D66">
            <v>97</v>
          </cell>
          <cell r="E66">
            <v>100</v>
          </cell>
          <cell r="F66">
            <v>99.1</v>
          </cell>
          <cell r="G66">
            <v>99.1</v>
          </cell>
          <cell r="H66">
            <v>100</v>
          </cell>
        </row>
        <row r="67">
          <cell r="A67">
            <v>92</v>
          </cell>
          <cell r="B67" t="str">
            <v>Cần Thơ</v>
          </cell>
          <cell r="C67">
            <v>99.2</v>
          </cell>
          <cell r="D67">
            <v>98.8</v>
          </cell>
          <cell r="E67">
            <v>100</v>
          </cell>
          <cell r="F67">
            <v>100</v>
          </cell>
          <cell r="G67">
            <v>100</v>
          </cell>
          <cell r="H67">
            <v>99.7</v>
          </cell>
        </row>
        <row r="68">
          <cell r="A68">
            <v>93</v>
          </cell>
          <cell r="B68" t="str">
            <v>Hậu Giang</v>
          </cell>
          <cell r="C68">
            <v>100</v>
          </cell>
          <cell r="D68">
            <v>100</v>
          </cell>
          <cell r="E68">
            <v>100</v>
          </cell>
          <cell r="F68">
            <v>99.4</v>
          </cell>
          <cell r="G68">
            <v>99.7</v>
          </cell>
          <cell r="H68">
            <v>100</v>
          </cell>
        </row>
        <row r="69">
          <cell r="A69">
            <v>94</v>
          </cell>
          <cell r="B69" t="str">
            <v>Sóc Trăng</v>
          </cell>
          <cell r="C69">
            <v>99.2</v>
          </cell>
          <cell r="D69">
            <v>98.2</v>
          </cell>
          <cell r="E69">
            <v>100</v>
          </cell>
          <cell r="F69">
            <v>98.3</v>
          </cell>
          <cell r="G69">
            <v>99.4</v>
          </cell>
          <cell r="H69">
            <v>100</v>
          </cell>
        </row>
        <row r="70">
          <cell r="A70">
            <v>95</v>
          </cell>
          <cell r="B70" t="str">
            <v>Bạc Liêu</v>
          </cell>
          <cell r="C70">
            <v>100</v>
          </cell>
          <cell r="D70">
            <v>97.7</v>
          </cell>
          <cell r="E70">
            <v>100</v>
          </cell>
          <cell r="F70">
            <v>96.4</v>
          </cell>
          <cell r="G70">
            <v>100</v>
          </cell>
          <cell r="H70">
            <v>100</v>
          </cell>
        </row>
        <row r="71">
          <cell r="A71">
            <v>96</v>
          </cell>
          <cell r="B71" t="str">
            <v>Cà Mau</v>
          </cell>
          <cell r="C71">
            <v>98.6</v>
          </cell>
          <cell r="D71">
            <v>97.1</v>
          </cell>
          <cell r="E71">
            <v>100</v>
          </cell>
          <cell r="F71">
            <v>98.9</v>
          </cell>
          <cell r="G71">
            <v>100</v>
          </cell>
          <cell r="H71">
            <v>99.6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1.4</v>
          </cell>
          <cell r="D9">
            <v>1.3</v>
          </cell>
          <cell r="E9">
            <v>0.9</v>
          </cell>
          <cell r="F9">
            <v>0.7</v>
          </cell>
          <cell r="G9">
            <v>0.5</v>
          </cell>
          <cell r="H9">
            <v>0.4</v>
          </cell>
          <cell r="I9">
            <v>0.1</v>
          </cell>
          <cell r="J9">
            <v>0.1</v>
          </cell>
        </row>
        <row r="10">
          <cell r="A10" t="str">
            <v>02</v>
          </cell>
          <cell r="B10" t="str">
            <v>Hà Giang</v>
          </cell>
          <cell r="C10">
            <v>39.799999999999997</v>
          </cell>
          <cell r="D10">
            <v>36.9</v>
          </cell>
          <cell r="E10">
            <v>32.6</v>
          </cell>
          <cell r="F10">
            <v>29.1</v>
          </cell>
          <cell r="G10">
            <v>27</v>
          </cell>
          <cell r="H10">
            <v>25</v>
          </cell>
          <cell r="I10">
            <v>31.6</v>
          </cell>
          <cell r="J10">
            <v>29.1</v>
          </cell>
        </row>
        <row r="11">
          <cell r="A11" t="str">
            <v>04</v>
          </cell>
          <cell r="B11" t="str">
            <v>Cao Bằng</v>
          </cell>
          <cell r="C11">
            <v>37.299999999999997</v>
          </cell>
          <cell r="D11">
            <v>34.9</v>
          </cell>
          <cell r="E11">
            <v>31.5</v>
          </cell>
          <cell r="F11">
            <v>28.5</v>
          </cell>
          <cell r="G11">
            <v>26</v>
          </cell>
          <cell r="H11">
            <v>24.5</v>
          </cell>
          <cell r="I11">
            <v>23.6</v>
          </cell>
          <cell r="J11">
            <v>21.2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7.1</v>
          </cell>
        </row>
        <row r="14">
          <cell r="A14">
            <v>10</v>
          </cell>
          <cell r="B14" t="str">
            <v>Lào Cai</v>
          </cell>
          <cell r="C14">
            <v>26.4</v>
          </cell>
          <cell r="D14">
            <v>23.9</v>
          </cell>
          <cell r="E14">
            <v>20.5</v>
          </cell>
          <cell r="F14">
            <v>17.2</v>
          </cell>
          <cell r="G14">
            <v>15.4</v>
          </cell>
          <cell r="H14">
            <v>14.8</v>
          </cell>
          <cell r="I14">
            <v>15.6</v>
          </cell>
          <cell r="J14">
            <v>13.7</v>
          </cell>
        </row>
        <row r="15">
          <cell r="A15">
            <v>11</v>
          </cell>
          <cell r="B15" t="str">
            <v>Điện Biên</v>
          </cell>
          <cell r="C15">
            <v>53.9</v>
          </cell>
          <cell r="D15">
            <v>50.2</v>
          </cell>
          <cell r="E15">
            <v>44.5</v>
          </cell>
          <cell r="F15">
            <v>39.9</v>
          </cell>
          <cell r="G15">
            <v>36.700000000000003</v>
          </cell>
          <cell r="H15">
            <v>34.5</v>
          </cell>
          <cell r="I15">
            <v>33.6</v>
          </cell>
          <cell r="J15">
            <v>29.5</v>
          </cell>
        </row>
        <row r="16">
          <cell r="A16">
            <v>12</v>
          </cell>
          <cell r="B16" t="str">
            <v>Lai Châu</v>
          </cell>
          <cell r="C16">
            <v>44.3</v>
          </cell>
          <cell r="D16">
            <v>41.6</v>
          </cell>
          <cell r="E16">
            <v>37.1</v>
          </cell>
          <cell r="F16">
            <v>33</v>
          </cell>
          <cell r="G16">
            <v>30.8</v>
          </cell>
          <cell r="H16">
            <v>27.9</v>
          </cell>
          <cell r="I16">
            <v>30.3</v>
          </cell>
          <cell r="J16">
            <v>28.1</v>
          </cell>
        </row>
        <row r="17">
          <cell r="A17">
            <v>14</v>
          </cell>
          <cell r="B17" t="str">
            <v>Sơn La</v>
          </cell>
          <cell r="C17">
            <v>42.8</v>
          </cell>
          <cell r="D17">
            <v>41</v>
          </cell>
          <cell r="E17">
            <v>36.299999999999997</v>
          </cell>
          <cell r="F17">
            <v>33</v>
          </cell>
          <cell r="G17">
            <v>30.5</v>
          </cell>
          <cell r="H17">
            <v>28.6</v>
          </cell>
          <cell r="I17">
            <v>23.9</v>
          </cell>
          <cell r="J17">
            <v>19.8</v>
          </cell>
        </row>
        <row r="18">
          <cell r="A18">
            <v>15</v>
          </cell>
          <cell r="B18" t="str">
            <v>Yên Bái</v>
          </cell>
          <cell r="C18">
            <v>26.1</v>
          </cell>
          <cell r="D18">
            <v>23.6</v>
          </cell>
          <cell r="E18">
            <v>20.3</v>
          </cell>
          <cell r="F18">
            <v>17.5</v>
          </cell>
          <cell r="G18">
            <v>15.1</v>
          </cell>
          <cell r="H18">
            <v>14</v>
          </cell>
          <cell r="I18">
            <v>16.600000000000001</v>
          </cell>
          <cell r="J18">
            <v>10.6</v>
          </cell>
        </row>
        <row r="19">
          <cell r="A19">
            <v>17</v>
          </cell>
          <cell r="B19" t="str">
            <v>Hoà Bình</v>
          </cell>
          <cell r="C19">
            <v>17.8</v>
          </cell>
          <cell r="D19">
            <v>15.4</v>
          </cell>
          <cell r="E19">
            <v>12.7</v>
          </cell>
          <cell r="F19">
            <v>10.5</v>
          </cell>
          <cell r="G19">
            <v>9.1</v>
          </cell>
          <cell r="H19">
            <v>8.1999999999999993</v>
          </cell>
          <cell r="I19">
            <v>7.9</v>
          </cell>
          <cell r="J19">
            <v>6</v>
          </cell>
        </row>
        <row r="20">
          <cell r="A20">
            <v>19</v>
          </cell>
          <cell r="B20" t="str">
            <v>Thái Nguyên</v>
          </cell>
          <cell r="C20">
            <v>7.8</v>
          </cell>
          <cell r="D20">
            <v>7.4</v>
          </cell>
          <cell r="E20">
            <v>6</v>
          </cell>
          <cell r="F20">
            <v>5.0999999999999996</v>
          </cell>
          <cell r="G20">
            <v>4.0999999999999996</v>
          </cell>
          <cell r="H20">
            <v>3.7</v>
          </cell>
          <cell r="I20">
            <v>2.2000000000000002</v>
          </cell>
          <cell r="J20">
            <v>1.7</v>
          </cell>
        </row>
        <row r="21">
          <cell r="A21">
            <v>20</v>
          </cell>
          <cell r="B21" t="str">
            <v>Lạng Sơn</v>
          </cell>
          <cell r="C21">
            <v>23.5</v>
          </cell>
          <cell r="D21">
            <v>20.6</v>
          </cell>
          <cell r="E21">
            <v>18.399999999999999</v>
          </cell>
          <cell r="F21">
            <v>15.9</v>
          </cell>
          <cell r="G21">
            <v>12.3</v>
          </cell>
          <cell r="H21">
            <v>10.7</v>
          </cell>
          <cell r="I21">
            <v>7.9</v>
          </cell>
          <cell r="J21">
            <v>6.1</v>
          </cell>
        </row>
        <row r="22">
          <cell r="A22">
            <v>22</v>
          </cell>
          <cell r="B22" t="str">
            <v>Quảng Ninh</v>
          </cell>
          <cell r="C22">
            <v>4.3</v>
          </cell>
          <cell r="D22">
            <v>3.8</v>
          </cell>
          <cell r="E22">
            <v>2.5</v>
          </cell>
          <cell r="F22">
            <v>2.2000000000000002</v>
          </cell>
          <cell r="G22">
            <v>2.1</v>
          </cell>
          <cell r="H22">
            <v>1.8</v>
          </cell>
          <cell r="I22">
            <v>1.1000000000000001</v>
          </cell>
          <cell r="J22">
            <v>1.1000000000000001</v>
          </cell>
        </row>
        <row r="23">
          <cell r="A23">
            <v>24</v>
          </cell>
          <cell r="B23" t="str">
            <v>Bắc Giang</v>
          </cell>
          <cell r="C23">
            <v>6.4</v>
          </cell>
          <cell r="D23">
            <v>5.4</v>
          </cell>
          <cell r="E23">
            <v>3.8</v>
          </cell>
          <cell r="F23">
            <v>3.3</v>
          </cell>
          <cell r="G23">
            <v>2.8</v>
          </cell>
          <cell r="H23">
            <v>2.6</v>
          </cell>
          <cell r="I23">
            <v>2</v>
          </cell>
          <cell r="J23">
            <v>1.5</v>
          </cell>
        </row>
        <row r="24">
          <cell r="A24">
            <v>25</v>
          </cell>
          <cell r="B24" t="str">
            <v>Phú Thọ</v>
          </cell>
          <cell r="C24">
            <v>10.3</v>
          </cell>
          <cell r="D24">
            <v>9.1999999999999993</v>
          </cell>
          <cell r="E24">
            <v>7.5</v>
          </cell>
          <cell r="F24">
            <v>6.5</v>
          </cell>
          <cell r="G24">
            <v>5.8</v>
          </cell>
          <cell r="H24">
            <v>5.6</v>
          </cell>
          <cell r="I24">
            <v>4.0999999999999996</v>
          </cell>
          <cell r="J24">
            <v>3.7</v>
          </cell>
        </row>
        <row r="25">
          <cell r="A25">
            <v>26</v>
          </cell>
          <cell r="B25" t="str">
            <v>Vĩnh Phúc</v>
          </cell>
          <cell r="C25">
            <v>5.0999999999999996</v>
          </cell>
          <cell r="D25">
            <v>4.5</v>
          </cell>
          <cell r="E25">
            <v>3.4</v>
          </cell>
          <cell r="F25">
            <v>2.9</v>
          </cell>
          <cell r="G25">
            <v>2.5</v>
          </cell>
          <cell r="H25">
            <v>2.2999999999999998</v>
          </cell>
          <cell r="I25">
            <v>1</v>
          </cell>
          <cell r="J25">
            <v>0.7</v>
          </cell>
        </row>
        <row r="26">
          <cell r="A26">
            <v>27</v>
          </cell>
          <cell r="B26" t="str">
            <v>Bắc Ninh</v>
          </cell>
          <cell r="C26">
            <v>1.9</v>
          </cell>
          <cell r="D26">
            <v>1.4</v>
          </cell>
          <cell r="E26">
            <v>1.1000000000000001</v>
          </cell>
          <cell r="F26">
            <v>0.8</v>
          </cell>
          <cell r="G26">
            <v>0.7</v>
          </cell>
          <cell r="H26">
            <v>0.6</v>
          </cell>
          <cell r="I26">
            <v>0.9</v>
          </cell>
          <cell r="J26">
            <v>1</v>
          </cell>
        </row>
        <row r="27">
          <cell r="A27">
            <v>30</v>
          </cell>
          <cell r="B27" t="str">
            <v>Hải Dương</v>
          </cell>
          <cell r="C27">
            <v>3.6</v>
          </cell>
          <cell r="D27">
            <v>3.1</v>
          </cell>
          <cell r="E27">
            <v>2.2999999999999998</v>
          </cell>
          <cell r="F27">
            <v>2</v>
          </cell>
          <cell r="G27">
            <v>1.8</v>
          </cell>
          <cell r="H27">
            <v>1.7</v>
          </cell>
          <cell r="I27">
            <v>1.1000000000000001</v>
          </cell>
          <cell r="J27">
            <v>0.7</v>
          </cell>
        </row>
        <row r="28">
          <cell r="A28">
            <v>31</v>
          </cell>
          <cell r="B28" t="str">
            <v>Hải Phòng</v>
          </cell>
          <cell r="C28">
            <v>2.1</v>
          </cell>
          <cell r="D28">
            <v>1.9</v>
          </cell>
          <cell r="E28">
            <v>1.4</v>
          </cell>
          <cell r="F28">
            <v>1.2</v>
          </cell>
          <cell r="G28">
            <v>0.9</v>
          </cell>
          <cell r="H28">
            <v>0.8</v>
          </cell>
          <cell r="I28">
            <v>0.6</v>
          </cell>
          <cell r="J28">
            <v>0.3</v>
          </cell>
        </row>
        <row r="29">
          <cell r="A29">
            <v>33</v>
          </cell>
          <cell r="B29" t="str">
            <v>Hưng Yên</v>
          </cell>
          <cell r="C29">
            <v>4.2</v>
          </cell>
          <cell r="D29">
            <v>3.7</v>
          </cell>
          <cell r="E29">
            <v>2.8</v>
          </cell>
          <cell r="F29">
            <v>2.2999999999999998</v>
          </cell>
          <cell r="G29">
            <v>1.9</v>
          </cell>
          <cell r="H29">
            <v>1.8</v>
          </cell>
          <cell r="I29">
            <v>1.7</v>
          </cell>
          <cell r="J29">
            <v>1.5</v>
          </cell>
        </row>
        <row r="30">
          <cell r="A30">
            <v>34</v>
          </cell>
          <cell r="B30" t="str">
            <v>Thái Bình</v>
          </cell>
          <cell r="C30">
            <v>4.7</v>
          </cell>
          <cell r="D30">
            <v>4</v>
          </cell>
          <cell r="E30">
            <v>2.9</v>
          </cell>
          <cell r="F30">
            <v>2.4</v>
          </cell>
          <cell r="G30">
            <v>2.1</v>
          </cell>
          <cell r="H30">
            <v>1.9</v>
          </cell>
          <cell r="I30">
            <v>1.8</v>
          </cell>
          <cell r="J30">
            <v>1.5</v>
          </cell>
        </row>
        <row r="31">
          <cell r="A31">
            <v>35</v>
          </cell>
          <cell r="B31" t="str">
            <v>Hà Nam</v>
          </cell>
          <cell r="C31">
            <v>4.9000000000000004</v>
          </cell>
          <cell r="D31">
            <v>4.0999999999999996</v>
          </cell>
          <cell r="E31">
            <v>2.8</v>
          </cell>
          <cell r="F31">
            <v>2.2999999999999998</v>
          </cell>
          <cell r="G31">
            <v>2.1</v>
          </cell>
          <cell r="H31">
            <v>2</v>
          </cell>
          <cell r="I31">
            <v>2</v>
          </cell>
          <cell r="J31">
            <v>1.7</v>
          </cell>
        </row>
        <row r="32">
          <cell r="A32">
            <v>36</v>
          </cell>
          <cell r="B32" t="str">
            <v>Nam Định</v>
          </cell>
          <cell r="C32">
            <v>4.2</v>
          </cell>
          <cell r="D32">
            <v>3.6</v>
          </cell>
          <cell r="E32">
            <v>2.8</v>
          </cell>
          <cell r="F32">
            <v>2.2999999999999998</v>
          </cell>
          <cell r="G32">
            <v>2</v>
          </cell>
          <cell r="H32">
            <v>1.8</v>
          </cell>
          <cell r="I32">
            <v>1.4</v>
          </cell>
          <cell r="J32">
            <v>1</v>
          </cell>
        </row>
        <row r="33">
          <cell r="A33">
            <v>37</v>
          </cell>
          <cell r="B33" t="str">
            <v>Ninh Bình</v>
          </cell>
          <cell r="C33">
            <v>4.5</v>
          </cell>
          <cell r="D33">
            <v>3.9</v>
          </cell>
          <cell r="E33">
            <v>2.8</v>
          </cell>
          <cell r="F33">
            <v>2.2000000000000002</v>
          </cell>
          <cell r="G33">
            <v>2.1</v>
          </cell>
          <cell r="H33">
            <v>2</v>
          </cell>
          <cell r="I33">
            <v>1.7</v>
          </cell>
          <cell r="J33">
            <v>8</v>
          </cell>
        </row>
        <row r="34">
          <cell r="A34">
            <v>38</v>
          </cell>
          <cell r="B34" t="str">
            <v>Thanh Hoá</v>
          </cell>
          <cell r="C34">
            <v>11.9</v>
          </cell>
          <cell r="D34">
            <v>10.9</v>
          </cell>
          <cell r="E34">
            <v>8.8000000000000007</v>
          </cell>
          <cell r="F34">
            <v>8</v>
          </cell>
          <cell r="G34">
            <v>7</v>
          </cell>
          <cell r="H34">
            <v>6.3</v>
          </cell>
          <cell r="I34">
            <v>5.2</v>
          </cell>
          <cell r="J34">
            <v>3.9</v>
          </cell>
        </row>
        <row r="35">
          <cell r="A35">
            <v>40</v>
          </cell>
          <cell r="B35" t="str">
            <v>Nghệ An</v>
          </cell>
          <cell r="C35">
            <v>17.7</v>
          </cell>
          <cell r="D35">
            <v>16.399999999999999</v>
          </cell>
          <cell r="E35">
            <v>13.5</v>
          </cell>
          <cell r="F35">
            <v>12.1</v>
          </cell>
          <cell r="G35">
            <v>10.9</v>
          </cell>
          <cell r="H35">
            <v>9.5</v>
          </cell>
          <cell r="I35">
            <v>6.2</v>
          </cell>
          <cell r="J35">
            <v>4.7</v>
          </cell>
        </row>
        <row r="36">
          <cell r="A36">
            <v>42</v>
          </cell>
          <cell r="B36" t="str">
            <v>Hà Tĩnh</v>
          </cell>
          <cell r="C36">
            <v>12.5</v>
          </cell>
          <cell r="D36">
            <v>10.9</v>
          </cell>
          <cell r="E36">
            <v>8.8000000000000007</v>
          </cell>
          <cell r="F36">
            <v>7.2</v>
          </cell>
          <cell r="G36">
            <v>6.5</v>
          </cell>
          <cell r="H36">
            <v>5.9</v>
          </cell>
          <cell r="I36">
            <v>3.8</v>
          </cell>
          <cell r="J36">
            <v>2.9</v>
          </cell>
        </row>
        <row r="37">
          <cell r="A37">
            <v>44</v>
          </cell>
          <cell r="B37" t="str">
            <v>Quảng Bình</v>
          </cell>
          <cell r="C37">
            <v>13.7</v>
          </cell>
          <cell r="D37">
            <v>12.1</v>
          </cell>
          <cell r="E37">
            <v>10.8</v>
          </cell>
          <cell r="F37">
            <v>9.3000000000000007</v>
          </cell>
          <cell r="G37">
            <v>8.8000000000000007</v>
          </cell>
          <cell r="H37">
            <v>7.7</v>
          </cell>
          <cell r="I37">
            <v>6.3</v>
          </cell>
          <cell r="J37">
            <v>5.2</v>
          </cell>
        </row>
        <row r="38">
          <cell r="A38">
            <v>45</v>
          </cell>
          <cell r="B38" t="str">
            <v>Quảng Trị</v>
          </cell>
          <cell r="C38">
            <v>16.100000000000001</v>
          </cell>
          <cell r="D38">
            <v>14.3</v>
          </cell>
          <cell r="E38">
            <v>12.6</v>
          </cell>
          <cell r="F38">
            <v>10.9</v>
          </cell>
          <cell r="G38">
            <v>9.1999999999999993</v>
          </cell>
          <cell r="H38">
            <v>8.1</v>
          </cell>
          <cell r="I38">
            <v>9.5</v>
          </cell>
          <cell r="J38">
            <v>7</v>
          </cell>
        </row>
        <row r="39">
          <cell r="A39">
            <v>46</v>
          </cell>
          <cell r="B39" t="str">
            <v>Thừa Thiên Huế</v>
          </cell>
          <cell r="C39">
            <v>7.3</v>
          </cell>
          <cell r="D39">
            <v>6.5</v>
          </cell>
          <cell r="E39">
            <v>4.7</v>
          </cell>
          <cell r="F39">
            <v>4</v>
          </cell>
          <cell r="G39">
            <v>3.5</v>
          </cell>
          <cell r="H39">
            <v>3</v>
          </cell>
          <cell r="I39">
            <v>3.9</v>
          </cell>
          <cell r="J39">
            <v>3.3</v>
          </cell>
        </row>
        <row r="40">
          <cell r="A40">
            <v>48</v>
          </cell>
          <cell r="B40" t="str">
            <v>Đà Nẵng</v>
          </cell>
          <cell r="C40">
            <v>1.5</v>
          </cell>
          <cell r="D40">
            <v>1.2</v>
          </cell>
          <cell r="E40">
            <v>0.9</v>
          </cell>
          <cell r="F40">
            <v>0.7</v>
          </cell>
          <cell r="G40">
            <v>0.5</v>
          </cell>
          <cell r="H40">
            <v>0.4</v>
          </cell>
          <cell r="I40">
            <v>0.9</v>
          </cell>
          <cell r="J40">
            <v>0.9</v>
          </cell>
        </row>
        <row r="41">
          <cell r="A41">
            <v>49</v>
          </cell>
          <cell r="B41" t="str">
            <v>Quảng Nam</v>
          </cell>
          <cell r="C41">
            <v>13.7</v>
          </cell>
          <cell r="D41">
            <v>12.6</v>
          </cell>
          <cell r="E41">
            <v>10.3</v>
          </cell>
          <cell r="F41">
            <v>9.1</v>
          </cell>
          <cell r="G41">
            <v>8.1</v>
          </cell>
          <cell r="H41">
            <v>7</v>
          </cell>
          <cell r="I41">
            <v>7.5</v>
          </cell>
          <cell r="J41">
            <v>5</v>
          </cell>
        </row>
        <row r="42">
          <cell r="A42">
            <v>51</v>
          </cell>
          <cell r="B42" t="str">
            <v>Quảng Ngãi</v>
          </cell>
          <cell r="C42">
            <v>13.7</v>
          </cell>
          <cell r="D42">
            <v>12.2</v>
          </cell>
          <cell r="E42">
            <v>10.1</v>
          </cell>
          <cell r="F42">
            <v>8.4</v>
          </cell>
          <cell r="G42">
            <v>7.5</v>
          </cell>
          <cell r="H42">
            <v>6.8</v>
          </cell>
          <cell r="I42">
            <v>6.6</v>
          </cell>
          <cell r="J42">
            <v>5.4</v>
          </cell>
        </row>
        <row r="43">
          <cell r="A43">
            <v>52</v>
          </cell>
          <cell r="B43" t="str">
            <v>Bình Định</v>
          </cell>
          <cell r="C43">
            <v>8</v>
          </cell>
          <cell r="D43">
            <v>6.9</v>
          </cell>
          <cell r="E43">
            <v>5.5</v>
          </cell>
          <cell r="F43">
            <v>4.5999999999999996</v>
          </cell>
          <cell r="G43">
            <v>4.0999999999999996</v>
          </cell>
          <cell r="H43">
            <v>3.6</v>
          </cell>
          <cell r="I43">
            <v>4</v>
          </cell>
          <cell r="J43">
            <v>0.1</v>
          </cell>
        </row>
        <row r="44">
          <cell r="A44">
            <v>54</v>
          </cell>
          <cell r="B44" t="str">
            <v>Phú Yên</v>
          </cell>
          <cell r="C44">
            <v>9.9</v>
          </cell>
          <cell r="D44">
            <v>8.8000000000000007</v>
          </cell>
          <cell r="E44">
            <v>7.5</v>
          </cell>
          <cell r="F44">
            <v>6.3</v>
          </cell>
          <cell r="G44">
            <v>5.5</v>
          </cell>
          <cell r="H44">
            <v>5</v>
          </cell>
          <cell r="I44">
            <v>6.5</v>
          </cell>
          <cell r="J44">
            <v>5</v>
          </cell>
        </row>
        <row r="45">
          <cell r="A45">
            <v>56</v>
          </cell>
          <cell r="B45" t="str">
            <v>Khánh Hoà</v>
          </cell>
          <cell r="C45">
            <v>5.9</v>
          </cell>
          <cell r="D45">
            <v>5</v>
          </cell>
          <cell r="E45">
            <v>3.7</v>
          </cell>
          <cell r="F45">
            <v>3</v>
          </cell>
          <cell r="G45">
            <v>2.5</v>
          </cell>
          <cell r="H45">
            <v>2.2000000000000002</v>
          </cell>
          <cell r="I45">
            <v>3.1</v>
          </cell>
          <cell r="J45">
            <v>2.4</v>
          </cell>
        </row>
        <row r="46">
          <cell r="A46">
            <v>58</v>
          </cell>
          <cell r="B46" t="str">
            <v>Ninh Thuận</v>
          </cell>
          <cell r="C46">
            <v>13.4</v>
          </cell>
          <cell r="D46">
            <v>12.6</v>
          </cell>
          <cell r="E46">
            <v>11</v>
          </cell>
          <cell r="F46">
            <v>9.8000000000000007</v>
          </cell>
          <cell r="G46">
            <v>9</v>
          </cell>
          <cell r="H46">
            <v>8.4</v>
          </cell>
          <cell r="I46">
            <v>9.1</v>
          </cell>
          <cell r="J46">
            <v>1.1000000000000001</v>
          </cell>
        </row>
        <row r="47">
          <cell r="A47">
            <v>60</v>
          </cell>
          <cell r="B47" t="str">
            <v>Bình Thuận</v>
          </cell>
          <cell r="C47">
            <v>4.4000000000000004</v>
          </cell>
          <cell r="D47">
            <v>3.6</v>
          </cell>
          <cell r="E47">
            <v>2.6</v>
          </cell>
          <cell r="F47">
            <v>2.1</v>
          </cell>
          <cell r="G47">
            <v>1.6</v>
          </cell>
          <cell r="H47">
            <v>1.3</v>
          </cell>
          <cell r="I47">
            <v>2.8</v>
          </cell>
          <cell r="J47">
            <v>1.2</v>
          </cell>
        </row>
        <row r="48">
          <cell r="A48">
            <v>62</v>
          </cell>
          <cell r="B48" t="str">
            <v>Kon Tum</v>
          </cell>
          <cell r="C48">
            <v>34</v>
          </cell>
          <cell r="D48">
            <v>31.9</v>
          </cell>
          <cell r="E48">
            <v>27.5</v>
          </cell>
          <cell r="F48">
            <v>24.1</v>
          </cell>
          <cell r="G48">
            <v>22</v>
          </cell>
          <cell r="H48">
            <v>20.6</v>
          </cell>
          <cell r="I48">
            <v>19.3</v>
          </cell>
          <cell r="J48">
            <v>16</v>
          </cell>
        </row>
        <row r="49">
          <cell r="A49">
            <v>64</v>
          </cell>
          <cell r="B49" t="str">
            <v>Gia Lai</v>
          </cell>
          <cell r="C49">
            <v>30.2</v>
          </cell>
          <cell r="D49">
            <v>27.5</v>
          </cell>
          <cell r="E49">
            <v>23.4</v>
          </cell>
          <cell r="F49">
            <v>20.2</v>
          </cell>
          <cell r="G49">
            <v>18.399999999999999</v>
          </cell>
          <cell r="H49">
            <v>16.899999999999999</v>
          </cell>
          <cell r="I49">
            <v>18.100000000000001</v>
          </cell>
          <cell r="J49">
            <v>14.8</v>
          </cell>
        </row>
        <row r="50">
          <cell r="A50">
            <v>66</v>
          </cell>
          <cell r="B50" t="str">
            <v>Đắk Lắk</v>
          </cell>
          <cell r="C50">
            <v>15.4</v>
          </cell>
          <cell r="D50">
            <v>13.5</v>
          </cell>
          <cell r="E50">
            <v>10.9</v>
          </cell>
          <cell r="F50">
            <v>9.1</v>
          </cell>
          <cell r="G50">
            <v>7.8</v>
          </cell>
          <cell r="H50">
            <v>7</v>
          </cell>
          <cell r="I50">
            <v>8.1999999999999993</v>
          </cell>
          <cell r="J50">
            <v>7.1</v>
          </cell>
        </row>
        <row r="51">
          <cell r="A51">
            <v>67</v>
          </cell>
          <cell r="B51" t="str">
            <v>Đắk Nông</v>
          </cell>
          <cell r="C51">
            <v>17.100000000000001</v>
          </cell>
          <cell r="D51">
            <v>14.8</v>
          </cell>
          <cell r="E51">
            <v>12.1</v>
          </cell>
          <cell r="F51">
            <v>10.1</v>
          </cell>
          <cell r="G51">
            <v>9</v>
          </cell>
          <cell r="H51">
            <v>8.1999999999999993</v>
          </cell>
          <cell r="I51">
            <v>9.6999999999999993</v>
          </cell>
          <cell r="J51">
            <v>8.6999999999999993</v>
          </cell>
        </row>
        <row r="52">
          <cell r="A52">
            <v>68</v>
          </cell>
          <cell r="B52" t="str">
            <v>Lâm Đồng</v>
          </cell>
          <cell r="C52">
            <v>8.1</v>
          </cell>
          <cell r="D52">
            <v>6.9</v>
          </cell>
          <cell r="E52">
            <v>5.8</v>
          </cell>
          <cell r="F52">
            <v>4.8</v>
          </cell>
          <cell r="G52">
            <v>4</v>
          </cell>
          <cell r="H52">
            <v>3.3</v>
          </cell>
          <cell r="I52">
            <v>3.6</v>
          </cell>
          <cell r="J52">
            <v>2.9</v>
          </cell>
        </row>
        <row r="53">
          <cell r="A53">
            <v>70</v>
          </cell>
          <cell r="B53" t="str">
            <v>Bình Phước</v>
          </cell>
          <cell r="C53">
            <v>6.7</v>
          </cell>
          <cell r="D53">
            <v>6</v>
          </cell>
          <cell r="E53">
            <v>4.4000000000000004</v>
          </cell>
          <cell r="F53">
            <v>3.7</v>
          </cell>
          <cell r="G53">
            <v>3</v>
          </cell>
          <cell r="H53">
            <v>2.7</v>
          </cell>
          <cell r="I53">
            <v>2.2000000000000002</v>
          </cell>
          <cell r="J53">
            <v>1.7</v>
          </cell>
        </row>
        <row r="54">
          <cell r="A54">
            <v>72</v>
          </cell>
          <cell r="B54" t="str">
            <v>Tây Ninh</v>
          </cell>
          <cell r="C54">
            <v>2.5</v>
          </cell>
          <cell r="D54">
            <v>2.2000000000000002</v>
          </cell>
          <cell r="E54">
            <v>1.7</v>
          </cell>
          <cell r="F54">
            <v>1.2</v>
          </cell>
          <cell r="G54">
            <v>1.1000000000000001</v>
          </cell>
          <cell r="H54">
            <v>0.8</v>
          </cell>
          <cell r="I54">
            <v>1.2</v>
          </cell>
          <cell r="J54">
            <v>0.8</v>
          </cell>
        </row>
        <row r="55">
          <cell r="A55">
            <v>74</v>
          </cell>
          <cell r="B55" t="str">
            <v>Bình Dương</v>
          </cell>
          <cell r="C55">
            <v>1.1000000000000001</v>
          </cell>
          <cell r="D55">
            <v>0.9</v>
          </cell>
          <cell r="E55">
            <v>0.7</v>
          </cell>
          <cell r="F55">
            <v>0.6</v>
          </cell>
          <cell r="G55">
            <v>0.1</v>
          </cell>
          <cell r="H55">
            <v>0</v>
          </cell>
          <cell r="I55">
            <v>0.1</v>
          </cell>
          <cell r="J55">
            <v>2.4</v>
          </cell>
        </row>
        <row r="56">
          <cell r="A56">
            <v>75</v>
          </cell>
          <cell r="B56" t="str">
            <v>Đồng Nai</v>
          </cell>
          <cell r="C56">
            <v>0.8</v>
          </cell>
          <cell r="D56">
            <v>0.7</v>
          </cell>
          <cell r="E56">
            <v>0.5</v>
          </cell>
          <cell r="F56">
            <v>0.3</v>
          </cell>
          <cell r="G56">
            <v>0.3</v>
          </cell>
          <cell r="H56">
            <v>0.3</v>
          </cell>
          <cell r="I56">
            <v>0.7</v>
          </cell>
          <cell r="J56">
            <v>0.5</v>
          </cell>
        </row>
        <row r="57">
          <cell r="A57">
            <v>77</v>
          </cell>
          <cell r="B57" t="str">
            <v>Bà Rịa-Vũng Tàu(***)</v>
          </cell>
          <cell r="C57">
            <v>1.3</v>
          </cell>
          <cell r="D57">
            <v>1.1000000000000001</v>
          </cell>
          <cell r="E57">
            <v>0.9</v>
          </cell>
          <cell r="F57">
            <v>0.7</v>
          </cell>
          <cell r="G57">
            <v>0.5</v>
          </cell>
          <cell r="H57">
            <v>0.2</v>
          </cell>
          <cell r="I57">
            <v>0.8</v>
          </cell>
          <cell r="J57">
            <v>0.6</v>
          </cell>
        </row>
        <row r="58">
          <cell r="A58">
            <v>79</v>
          </cell>
          <cell r="B58" t="str">
            <v>TP Hồ Chí Minh</v>
          </cell>
          <cell r="C58">
            <v>0.2</v>
          </cell>
          <cell r="D58">
            <v>0.1</v>
          </cell>
          <cell r="E58">
            <v>0.1</v>
          </cell>
          <cell r="F58">
            <v>0.1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A59">
            <v>80</v>
          </cell>
          <cell r="B59" t="str">
            <v>Long An</v>
          </cell>
          <cell r="C59">
            <v>4.8</v>
          </cell>
          <cell r="D59">
            <v>4</v>
          </cell>
          <cell r="E59">
            <v>2.9</v>
          </cell>
          <cell r="F59">
            <v>2.5</v>
          </cell>
          <cell r="G59">
            <v>2</v>
          </cell>
          <cell r="H59">
            <v>1.7</v>
          </cell>
          <cell r="I59">
            <v>2.2999999999999998</v>
          </cell>
          <cell r="J59">
            <v>1.7</v>
          </cell>
        </row>
        <row r="60">
          <cell r="A60">
            <v>82</v>
          </cell>
          <cell r="B60" t="str">
            <v>Tiền Giang</v>
          </cell>
          <cell r="C60">
            <v>5.7</v>
          </cell>
          <cell r="D60">
            <v>4.7</v>
          </cell>
          <cell r="E60">
            <v>3.2</v>
          </cell>
          <cell r="F60">
            <v>2.6</v>
          </cell>
          <cell r="G60">
            <v>2</v>
          </cell>
          <cell r="H60">
            <v>1.7</v>
          </cell>
          <cell r="I60">
            <v>2.2999999999999998</v>
          </cell>
          <cell r="J60">
            <v>1.1000000000000001</v>
          </cell>
        </row>
        <row r="61">
          <cell r="A61">
            <v>83</v>
          </cell>
          <cell r="B61" t="str">
            <v>Bến Tre</v>
          </cell>
          <cell r="C61">
            <v>10.1</v>
          </cell>
          <cell r="D61">
            <v>8.6999999999999993</v>
          </cell>
          <cell r="E61">
            <v>6.7</v>
          </cell>
          <cell r="F61">
            <v>5.6</v>
          </cell>
          <cell r="G61">
            <v>5</v>
          </cell>
          <cell r="H61">
            <v>4.5999999999999996</v>
          </cell>
          <cell r="I61">
            <v>3.9</v>
          </cell>
          <cell r="J61">
            <v>2.4</v>
          </cell>
        </row>
        <row r="62">
          <cell r="A62">
            <v>84</v>
          </cell>
          <cell r="B62" t="str">
            <v>Trà Vinh</v>
          </cell>
          <cell r="C62">
            <v>13.9</v>
          </cell>
          <cell r="D62">
            <v>12</v>
          </cell>
          <cell r="E62">
            <v>9.9</v>
          </cell>
          <cell r="F62">
            <v>8.4</v>
          </cell>
          <cell r="G62">
            <v>7.4</v>
          </cell>
          <cell r="H62">
            <v>6.6</v>
          </cell>
          <cell r="I62">
            <v>7</v>
          </cell>
          <cell r="J62">
            <v>6</v>
          </cell>
        </row>
        <row r="63">
          <cell r="A63">
            <v>86</v>
          </cell>
          <cell r="B63" t="str">
            <v>Vĩnh Long</v>
          </cell>
          <cell r="C63">
            <v>9.3000000000000007</v>
          </cell>
          <cell r="D63">
            <v>7.9</v>
          </cell>
          <cell r="E63">
            <v>6.5</v>
          </cell>
          <cell r="F63">
            <v>5.8</v>
          </cell>
          <cell r="G63">
            <v>5.0999999999999996</v>
          </cell>
          <cell r="H63">
            <v>4.5999999999999996</v>
          </cell>
          <cell r="I63">
            <v>3.5</v>
          </cell>
          <cell r="J63">
            <v>2.6</v>
          </cell>
        </row>
        <row r="64">
          <cell r="A64">
            <v>87</v>
          </cell>
          <cell r="B64" t="str">
            <v>Đồng Tháp</v>
          </cell>
          <cell r="C64">
            <v>8</v>
          </cell>
          <cell r="D64">
            <v>6.9</v>
          </cell>
          <cell r="E64">
            <v>5.6</v>
          </cell>
          <cell r="F64">
            <v>4.7</v>
          </cell>
          <cell r="G64">
            <v>4</v>
          </cell>
          <cell r="H64">
            <v>3.7</v>
          </cell>
          <cell r="I64">
            <v>3.1</v>
          </cell>
          <cell r="J64">
            <v>2.2000000000000002</v>
          </cell>
        </row>
        <row r="65">
          <cell r="A65">
            <v>89</v>
          </cell>
          <cell r="B65" t="str">
            <v>An Giang</v>
          </cell>
          <cell r="C65">
            <v>7.6</v>
          </cell>
          <cell r="D65">
            <v>6.8</v>
          </cell>
          <cell r="E65">
            <v>5.7</v>
          </cell>
          <cell r="F65">
            <v>4.9000000000000004</v>
          </cell>
          <cell r="G65">
            <v>4</v>
          </cell>
          <cell r="H65">
            <v>3.5</v>
          </cell>
          <cell r="I65">
            <v>4.5999999999999996</v>
          </cell>
          <cell r="J65">
            <v>3.7</v>
          </cell>
        </row>
        <row r="66">
          <cell r="A66">
            <v>91</v>
          </cell>
          <cell r="B66" t="str">
            <v>Kiên Giang</v>
          </cell>
          <cell r="C66">
            <v>8.1999999999999993</v>
          </cell>
          <cell r="D66">
            <v>7.1</v>
          </cell>
          <cell r="E66">
            <v>5.8</v>
          </cell>
          <cell r="F66">
            <v>4.8</v>
          </cell>
          <cell r="G66">
            <v>4.0999999999999996</v>
          </cell>
          <cell r="H66">
            <v>3.6</v>
          </cell>
          <cell r="I66">
            <v>4.0999999999999996</v>
          </cell>
          <cell r="J66">
            <v>3.4</v>
          </cell>
        </row>
        <row r="67">
          <cell r="A67">
            <v>92</v>
          </cell>
          <cell r="B67" t="str">
            <v>Cần Thơ</v>
          </cell>
          <cell r="C67">
            <v>4.5999999999999996</v>
          </cell>
          <cell r="D67">
            <v>3.9</v>
          </cell>
          <cell r="E67">
            <v>2.7</v>
          </cell>
          <cell r="F67">
            <v>2.2000000000000002</v>
          </cell>
          <cell r="G67">
            <v>2</v>
          </cell>
          <cell r="H67">
            <v>1.8</v>
          </cell>
          <cell r="I67">
            <v>1</v>
          </cell>
          <cell r="J67">
            <v>0.9</v>
          </cell>
        </row>
        <row r="68">
          <cell r="A68">
            <v>93</v>
          </cell>
          <cell r="B68" t="str">
            <v>Hậu Giang</v>
          </cell>
          <cell r="C68">
            <v>10.7</v>
          </cell>
          <cell r="D68">
            <v>9.4</v>
          </cell>
          <cell r="E68">
            <v>7.3</v>
          </cell>
          <cell r="F68">
            <v>6.2</v>
          </cell>
          <cell r="G68">
            <v>5.6</v>
          </cell>
          <cell r="H68">
            <v>5.2</v>
          </cell>
          <cell r="I68">
            <v>5.3</v>
          </cell>
          <cell r="J68">
            <v>3.9</v>
          </cell>
        </row>
        <row r="69">
          <cell r="A69">
            <v>94</v>
          </cell>
          <cell r="B69" t="str">
            <v>Sóc Trăng</v>
          </cell>
          <cell r="C69">
            <v>10.199999999999999</v>
          </cell>
          <cell r="D69">
            <v>8.6999999999999993</v>
          </cell>
          <cell r="E69">
            <v>6.7</v>
          </cell>
          <cell r="F69">
            <v>5.6</v>
          </cell>
          <cell r="G69">
            <v>5</v>
          </cell>
          <cell r="H69">
            <v>4.7</v>
          </cell>
          <cell r="I69">
            <v>6.1</v>
          </cell>
          <cell r="J69">
            <v>5</v>
          </cell>
        </row>
        <row r="70">
          <cell r="A70">
            <v>95</v>
          </cell>
          <cell r="B70" t="str">
            <v>Bạc Liêu</v>
          </cell>
          <cell r="C70">
            <v>13.3</v>
          </cell>
          <cell r="D70">
            <v>11.5</v>
          </cell>
          <cell r="E70">
            <v>9.4</v>
          </cell>
          <cell r="F70">
            <v>7.9</v>
          </cell>
          <cell r="G70">
            <v>6.7</v>
          </cell>
          <cell r="H70">
            <v>5.8</v>
          </cell>
          <cell r="I70">
            <v>5.2</v>
          </cell>
          <cell r="J70">
            <v>4.3</v>
          </cell>
        </row>
        <row r="71">
          <cell r="A71">
            <v>96</v>
          </cell>
          <cell r="B71" t="str">
            <v>Cà Mau</v>
          </cell>
          <cell r="C71">
            <v>11.9</v>
          </cell>
          <cell r="D71">
            <v>10.1</v>
          </cell>
          <cell r="E71">
            <v>8.3000000000000007</v>
          </cell>
          <cell r="F71">
            <v>6.9</v>
          </cell>
          <cell r="G71">
            <v>5.9</v>
          </cell>
          <cell r="H71">
            <v>5.2</v>
          </cell>
          <cell r="I71">
            <v>6.4</v>
          </cell>
          <cell r="J71">
            <v>5.2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44.9</v>
          </cell>
          <cell r="D9">
            <v>44.2</v>
          </cell>
          <cell r="E9">
            <v>42</v>
          </cell>
          <cell r="F9">
            <v>48.1</v>
          </cell>
          <cell r="G9">
            <v>48.5</v>
          </cell>
          <cell r="H9">
            <v>50.3</v>
          </cell>
          <cell r="I9">
            <v>50.3</v>
          </cell>
          <cell r="J9">
            <v>50.8</v>
          </cell>
        </row>
        <row r="10">
          <cell r="A10" t="str">
            <v>02</v>
          </cell>
          <cell r="B10" t="str">
            <v>Hà Giang</v>
          </cell>
          <cell r="C10">
            <v>10.1</v>
          </cell>
          <cell r="D10">
            <v>12.5</v>
          </cell>
          <cell r="E10">
            <v>13.8</v>
          </cell>
          <cell r="F10">
            <v>12.5</v>
          </cell>
          <cell r="G10">
            <v>12.8</v>
          </cell>
          <cell r="H10">
            <v>19.5</v>
          </cell>
          <cell r="I10">
            <v>34.9</v>
          </cell>
          <cell r="J10">
            <v>21</v>
          </cell>
        </row>
        <row r="11">
          <cell r="A11" t="str">
            <v>04</v>
          </cell>
          <cell r="B11" t="str">
            <v>Cao Bằng</v>
          </cell>
          <cell r="C11">
            <v>19.8</v>
          </cell>
          <cell r="D11">
            <v>21</v>
          </cell>
          <cell r="E11">
            <v>20.6</v>
          </cell>
          <cell r="F11">
            <v>20.8</v>
          </cell>
          <cell r="G11">
            <v>21.8</v>
          </cell>
          <cell r="H11">
            <v>24.7</v>
          </cell>
          <cell r="I11">
            <v>34.4</v>
          </cell>
          <cell r="J11">
            <v>25.9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21.8</v>
          </cell>
        </row>
        <row r="14">
          <cell r="A14">
            <v>10</v>
          </cell>
          <cell r="B14" t="str">
            <v>Lào Cai</v>
          </cell>
          <cell r="C14">
            <v>16.8</v>
          </cell>
          <cell r="D14">
            <v>19.100000000000001</v>
          </cell>
          <cell r="E14">
            <v>17.100000000000001</v>
          </cell>
          <cell r="F14">
            <v>19.5</v>
          </cell>
          <cell r="G14">
            <v>21</v>
          </cell>
          <cell r="H14">
            <v>24.6</v>
          </cell>
          <cell r="I14">
            <v>36.5</v>
          </cell>
          <cell r="J14">
            <v>22.8</v>
          </cell>
        </row>
        <row r="15">
          <cell r="A15">
            <v>11</v>
          </cell>
          <cell r="B15" t="str">
            <v>Điện Biên</v>
          </cell>
          <cell r="C15">
            <v>20.100000000000001</v>
          </cell>
          <cell r="D15">
            <v>21</v>
          </cell>
          <cell r="E15">
            <v>15.6</v>
          </cell>
          <cell r="F15">
            <v>16.100000000000001</v>
          </cell>
          <cell r="G15">
            <v>16.2</v>
          </cell>
          <cell r="H15">
            <v>18.8</v>
          </cell>
          <cell r="I15">
            <v>28.1</v>
          </cell>
          <cell r="J15">
            <v>18.2</v>
          </cell>
        </row>
        <row r="16">
          <cell r="A16">
            <v>12</v>
          </cell>
          <cell r="B16" t="str">
            <v>Lai Châu</v>
          </cell>
          <cell r="C16">
            <v>11.8</v>
          </cell>
          <cell r="D16">
            <v>14.4</v>
          </cell>
          <cell r="E16">
            <v>14.2</v>
          </cell>
          <cell r="F16">
            <v>13.3</v>
          </cell>
          <cell r="G16">
            <v>12.5</v>
          </cell>
          <cell r="H16">
            <v>25.6</v>
          </cell>
          <cell r="I16">
            <v>19.600000000000001</v>
          </cell>
          <cell r="J16">
            <v>23.8</v>
          </cell>
        </row>
        <row r="17">
          <cell r="A17">
            <v>14</v>
          </cell>
          <cell r="B17" t="str">
            <v>Sơn La</v>
          </cell>
          <cell r="C17">
            <v>12.3</v>
          </cell>
          <cell r="D17">
            <v>12.8</v>
          </cell>
          <cell r="E17">
            <v>14.9</v>
          </cell>
          <cell r="F17">
            <v>11.2</v>
          </cell>
          <cell r="G17">
            <v>13.1</v>
          </cell>
          <cell r="H17">
            <v>16.8</v>
          </cell>
          <cell r="I17">
            <v>27.6</v>
          </cell>
          <cell r="J17">
            <v>19</v>
          </cell>
        </row>
        <row r="18">
          <cell r="A18">
            <v>15</v>
          </cell>
          <cell r="B18" t="str">
            <v>Yên Bái</v>
          </cell>
          <cell r="C18">
            <v>16</v>
          </cell>
          <cell r="D18">
            <v>16.600000000000001</v>
          </cell>
          <cell r="E18">
            <v>20</v>
          </cell>
          <cell r="F18">
            <v>17.5</v>
          </cell>
          <cell r="G18">
            <v>19.100000000000001</v>
          </cell>
          <cell r="H18">
            <v>22.2</v>
          </cell>
          <cell r="I18">
            <v>21.5</v>
          </cell>
          <cell r="J18">
            <v>23.2</v>
          </cell>
        </row>
        <row r="19">
          <cell r="A19">
            <v>17</v>
          </cell>
          <cell r="B19" t="str">
            <v>Hoà Bình</v>
          </cell>
          <cell r="C19">
            <v>18.3</v>
          </cell>
          <cell r="D19">
            <v>17.8</v>
          </cell>
          <cell r="E19">
            <v>17.399999999999999</v>
          </cell>
          <cell r="F19">
            <v>17.399999999999999</v>
          </cell>
          <cell r="G19">
            <v>18.600000000000001</v>
          </cell>
          <cell r="H19">
            <v>23.6</v>
          </cell>
          <cell r="I19">
            <v>31.8</v>
          </cell>
          <cell r="J19">
            <v>23.8</v>
          </cell>
        </row>
        <row r="20">
          <cell r="A20">
            <v>19</v>
          </cell>
          <cell r="B20" t="str">
            <v>Thái Nguyên</v>
          </cell>
          <cell r="C20">
            <v>25.7</v>
          </cell>
          <cell r="D20">
            <v>26</v>
          </cell>
          <cell r="E20">
            <v>24.7</v>
          </cell>
          <cell r="F20">
            <v>27.2</v>
          </cell>
          <cell r="G20">
            <v>28.2</v>
          </cell>
          <cell r="H20">
            <v>35.4</v>
          </cell>
          <cell r="I20">
            <v>20.6</v>
          </cell>
          <cell r="J20">
            <v>36.6</v>
          </cell>
        </row>
        <row r="21">
          <cell r="A21">
            <v>20</v>
          </cell>
          <cell r="B21" t="str">
            <v>Lạng Sơn</v>
          </cell>
          <cell r="C21">
            <v>15.1</v>
          </cell>
          <cell r="D21">
            <v>15.5</v>
          </cell>
          <cell r="E21">
            <v>19.8</v>
          </cell>
          <cell r="F21">
            <v>16.5</v>
          </cell>
          <cell r="G21">
            <v>21</v>
          </cell>
          <cell r="H21">
            <v>27.8</v>
          </cell>
          <cell r="I21">
            <v>25.6</v>
          </cell>
          <cell r="J21">
            <v>27.6</v>
          </cell>
        </row>
        <row r="22">
          <cell r="A22">
            <v>22</v>
          </cell>
          <cell r="B22" t="str">
            <v>Quảng Ninh</v>
          </cell>
          <cell r="C22">
            <v>31.7</v>
          </cell>
          <cell r="D22">
            <v>32.9</v>
          </cell>
          <cell r="E22">
            <v>35.6</v>
          </cell>
          <cell r="F22">
            <v>37.700000000000003</v>
          </cell>
          <cell r="G22">
            <v>38.700000000000003</v>
          </cell>
          <cell r="H22">
            <v>41.4</v>
          </cell>
          <cell r="I22">
            <v>27.6</v>
          </cell>
          <cell r="J22">
            <v>41.9</v>
          </cell>
        </row>
        <row r="23">
          <cell r="A23">
            <v>24</v>
          </cell>
          <cell r="B23" t="str">
            <v>Bắc Giang</v>
          </cell>
          <cell r="C23">
            <v>17.8</v>
          </cell>
          <cell r="D23">
            <v>17.899999999999999</v>
          </cell>
          <cell r="E23">
            <v>16.7</v>
          </cell>
          <cell r="F23">
            <v>18</v>
          </cell>
          <cell r="G23">
            <v>19.8</v>
          </cell>
          <cell r="H23">
            <v>26.7</v>
          </cell>
          <cell r="I23">
            <v>21.6</v>
          </cell>
          <cell r="J23">
            <v>32.6</v>
          </cell>
        </row>
        <row r="24">
          <cell r="A24">
            <v>25</v>
          </cell>
          <cell r="B24" t="str">
            <v>Phú Thọ</v>
          </cell>
          <cell r="C24">
            <v>21</v>
          </cell>
          <cell r="D24">
            <v>21.8</v>
          </cell>
          <cell r="E24">
            <v>21.8</v>
          </cell>
          <cell r="F24">
            <v>24.6</v>
          </cell>
          <cell r="G24">
            <v>25.2</v>
          </cell>
          <cell r="H24">
            <v>34.6</v>
          </cell>
          <cell r="I24">
            <v>22.7</v>
          </cell>
          <cell r="J24">
            <v>34.1</v>
          </cell>
        </row>
        <row r="25">
          <cell r="A25">
            <v>26</v>
          </cell>
          <cell r="B25" t="str">
            <v>Vĩnh Phúc</v>
          </cell>
          <cell r="C25">
            <v>22</v>
          </cell>
          <cell r="D25">
            <v>22.1</v>
          </cell>
          <cell r="E25">
            <v>22.4</v>
          </cell>
          <cell r="F25">
            <v>24.9</v>
          </cell>
          <cell r="G25">
            <v>28.6</v>
          </cell>
          <cell r="H25">
            <v>34.700000000000003</v>
          </cell>
          <cell r="I25">
            <v>22.9</v>
          </cell>
          <cell r="J25">
            <v>35.799999999999997</v>
          </cell>
        </row>
        <row r="26">
          <cell r="A26">
            <v>27</v>
          </cell>
          <cell r="B26" t="str">
            <v>Bắc Ninh</v>
          </cell>
          <cell r="C26">
            <v>21.9</v>
          </cell>
          <cell r="D26">
            <v>22.4</v>
          </cell>
          <cell r="E26">
            <v>28</v>
          </cell>
          <cell r="F26">
            <v>28</v>
          </cell>
          <cell r="G26">
            <v>27.8</v>
          </cell>
          <cell r="H26">
            <v>33.5</v>
          </cell>
          <cell r="I26">
            <v>35.9</v>
          </cell>
          <cell r="J26">
            <v>34.4</v>
          </cell>
        </row>
        <row r="27">
          <cell r="A27">
            <v>30</v>
          </cell>
          <cell r="B27" t="str">
            <v>Hải Dương</v>
          </cell>
          <cell r="C27">
            <v>19.3</v>
          </cell>
          <cell r="D27">
            <v>20.8</v>
          </cell>
          <cell r="E27">
            <v>17.5</v>
          </cell>
          <cell r="F27">
            <v>22.1</v>
          </cell>
          <cell r="G27">
            <v>24.8</v>
          </cell>
          <cell r="H27">
            <v>30.4</v>
          </cell>
          <cell r="I27">
            <v>28.5</v>
          </cell>
          <cell r="J27">
            <v>29.2</v>
          </cell>
        </row>
        <row r="28">
          <cell r="A28">
            <v>31</v>
          </cell>
          <cell r="B28" t="str">
            <v>Hải Phòng</v>
          </cell>
          <cell r="C28">
            <v>32.6</v>
          </cell>
          <cell r="D28">
            <v>33.799999999999997</v>
          </cell>
          <cell r="E28">
            <v>31.3</v>
          </cell>
          <cell r="F28">
            <v>31.6</v>
          </cell>
          <cell r="G28">
            <v>34.700000000000003</v>
          </cell>
          <cell r="H28">
            <v>36</v>
          </cell>
          <cell r="I28">
            <v>32</v>
          </cell>
          <cell r="J28">
            <v>36.5</v>
          </cell>
        </row>
        <row r="29">
          <cell r="A29">
            <v>33</v>
          </cell>
          <cell r="B29" t="str">
            <v>Hưng Yên</v>
          </cell>
          <cell r="C29">
            <v>19.3</v>
          </cell>
          <cell r="D29">
            <v>19.899999999999999</v>
          </cell>
          <cell r="E29">
            <v>20.399999999999999</v>
          </cell>
          <cell r="F29">
            <v>25.3</v>
          </cell>
          <cell r="G29">
            <v>26.4</v>
          </cell>
          <cell r="H29">
            <v>26.7</v>
          </cell>
          <cell r="I29">
            <v>33.200000000000003</v>
          </cell>
          <cell r="J29">
            <v>28.2</v>
          </cell>
        </row>
        <row r="30">
          <cell r="A30">
            <v>34</v>
          </cell>
          <cell r="B30" t="str">
            <v>Thái Bình</v>
          </cell>
          <cell r="C30">
            <v>15.1</v>
          </cell>
          <cell r="D30">
            <v>15.5</v>
          </cell>
          <cell r="E30">
            <v>18.399999999999999</v>
          </cell>
          <cell r="F30">
            <v>15.3</v>
          </cell>
          <cell r="G30">
            <v>17.899999999999999</v>
          </cell>
          <cell r="H30">
            <v>19.3</v>
          </cell>
          <cell r="I30">
            <v>18.100000000000001</v>
          </cell>
          <cell r="J30">
            <v>22.9</v>
          </cell>
        </row>
        <row r="31">
          <cell r="A31">
            <v>35</v>
          </cell>
          <cell r="B31" t="str">
            <v>Hà Nam</v>
          </cell>
          <cell r="C31">
            <v>17</v>
          </cell>
          <cell r="D31">
            <v>18.100000000000001</v>
          </cell>
          <cell r="E31">
            <v>20.8</v>
          </cell>
          <cell r="F31">
            <v>20</v>
          </cell>
          <cell r="G31">
            <v>22.1</v>
          </cell>
          <cell r="H31">
            <v>27.6</v>
          </cell>
          <cell r="I31">
            <v>23.8</v>
          </cell>
          <cell r="J31">
            <v>29.5</v>
          </cell>
        </row>
        <row r="32">
          <cell r="A32">
            <v>36</v>
          </cell>
          <cell r="B32" t="str">
            <v>Nam Định</v>
          </cell>
          <cell r="C32">
            <v>13.9</v>
          </cell>
          <cell r="D32">
            <v>15.3</v>
          </cell>
          <cell r="E32">
            <v>15.9</v>
          </cell>
          <cell r="F32">
            <v>17.7</v>
          </cell>
          <cell r="G32">
            <v>20.100000000000001</v>
          </cell>
          <cell r="H32">
            <v>22</v>
          </cell>
          <cell r="I32">
            <v>18.5</v>
          </cell>
          <cell r="J32">
            <v>21.7</v>
          </cell>
        </row>
        <row r="33">
          <cell r="A33">
            <v>37</v>
          </cell>
          <cell r="B33" t="str">
            <v>Ninh Bình</v>
          </cell>
          <cell r="C33">
            <v>25.3</v>
          </cell>
          <cell r="D33">
            <v>26.4</v>
          </cell>
          <cell r="E33">
            <v>27.4</v>
          </cell>
          <cell r="F33">
            <v>28.9</v>
          </cell>
          <cell r="G33">
            <v>30.2</v>
          </cell>
          <cell r="H33">
            <v>31.7</v>
          </cell>
          <cell r="I33">
            <v>23.8</v>
          </cell>
          <cell r="J33">
            <v>33.6</v>
          </cell>
        </row>
        <row r="34">
          <cell r="A34">
            <v>38</v>
          </cell>
          <cell r="B34" t="str">
            <v>Thanh Hoá</v>
          </cell>
          <cell r="C34">
            <v>18.8</v>
          </cell>
          <cell r="D34">
            <v>19.899999999999999</v>
          </cell>
          <cell r="E34">
            <v>19.399999999999999</v>
          </cell>
          <cell r="F34">
            <v>19.399999999999999</v>
          </cell>
          <cell r="G34">
            <v>21.4</v>
          </cell>
          <cell r="H34">
            <v>25.1</v>
          </cell>
          <cell r="I34">
            <v>26.4</v>
          </cell>
          <cell r="J34">
            <v>27.6</v>
          </cell>
        </row>
        <row r="35">
          <cell r="A35">
            <v>40</v>
          </cell>
          <cell r="B35" t="str">
            <v>Nghệ An</v>
          </cell>
          <cell r="C35">
            <v>17.3</v>
          </cell>
          <cell r="D35">
            <v>19.899999999999999</v>
          </cell>
          <cell r="E35">
            <v>20.8</v>
          </cell>
          <cell r="F35">
            <v>20.7</v>
          </cell>
          <cell r="G35">
            <v>20.8</v>
          </cell>
          <cell r="H35">
            <v>23.4</v>
          </cell>
          <cell r="I35">
            <v>25.3</v>
          </cell>
          <cell r="J35">
            <v>25.7</v>
          </cell>
        </row>
        <row r="36">
          <cell r="A36">
            <v>42</v>
          </cell>
          <cell r="B36" t="str">
            <v>Hà Tĩnh</v>
          </cell>
          <cell r="C36">
            <v>19.2</v>
          </cell>
          <cell r="D36">
            <v>21.5</v>
          </cell>
          <cell r="E36">
            <v>24.2</v>
          </cell>
          <cell r="F36">
            <v>25</v>
          </cell>
          <cell r="G36">
            <v>25.7</v>
          </cell>
          <cell r="H36">
            <v>30.5</v>
          </cell>
          <cell r="I36">
            <v>30.8</v>
          </cell>
          <cell r="J36">
            <v>31.6</v>
          </cell>
        </row>
        <row r="37">
          <cell r="A37">
            <v>44</v>
          </cell>
          <cell r="B37" t="str">
            <v>Quảng Bình</v>
          </cell>
          <cell r="C37">
            <v>18.7</v>
          </cell>
          <cell r="D37">
            <v>20.9</v>
          </cell>
          <cell r="E37">
            <v>25.1</v>
          </cell>
          <cell r="F37">
            <v>21.7</v>
          </cell>
          <cell r="G37">
            <v>21.9</v>
          </cell>
          <cell r="H37">
            <v>26.5</v>
          </cell>
          <cell r="I37">
            <v>27</v>
          </cell>
          <cell r="J37">
            <v>27.7</v>
          </cell>
        </row>
        <row r="38">
          <cell r="A38">
            <v>45</v>
          </cell>
          <cell r="B38" t="str">
            <v>Quảng Trị</v>
          </cell>
          <cell r="C38">
            <v>23.9</v>
          </cell>
          <cell r="D38">
            <v>24.7</v>
          </cell>
          <cell r="E38">
            <v>26</v>
          </cell>
          <cell r="F38">
            <v>23.2</v>
          </cell>
          <cell r="G38">
            <v>25.6</v>
          </cell>
          <cell r="H38">
            <v>27.7</v>
          </cell>
          <cell r="I38">
            <v>27.1</v>
          </cell>
          <cell r="J38">
            <v>28</v>
          </cell>
        </row>
        <row r="39">
          <cell r="A39">
            <v>46</v>
          </cell>
          <cell r="B39" t="str">
            <v>Thừa Thiên Huế</v>
          </cell>
          <cell r="C39">
            <v>24.1</v>
          </cell>
          <cell r="D39">
            <v>24.3</v>
          </cell>
          <cell r="E39">
            <v>22.7</v>
          </cell>
          <cell r="F39">
            <v>22.7</v>
          </cell>
          <cell r="G39">
            <v>23.1</v>
          </cell>
          <cell r="H39">
            <v>28.7</v>
          </cell>
          <cell r="I39">
            <v>29.8</v>
          </cell>
          <cell r="J39">
            <v>30.1</v>
          </cell>
        </row>
        <row r="40">
          <cell r="A40">
            <v>48</v>
          </cell>
          <cell r="B40" t="str">
            <v>Đà Nẵng</v>
          </cell>
          <cell r="C40">
            <v>41.1</v>
          </cell>
          <cell r="D40">
            <v>40.9</v>
          </cell>
          <cell r="E40">
            <v>42.6</v>
          </cell>
          <cell r="F40">
            <v>44.6</v>
          </cell>
          <cell r="G40">
            <v>44</v>
          </cell>
          <cell r="H40">
            <v>48.1</v>
          </cell>
          <cell r="I40">
            <v>48.5</v>
          </cell>
          <cell r="J40">
            <v>49.7</v>
          </cell>
        </row>
        <row r="41">
          <cell r="A41">
            <v>49</v>
          </cell>
          <cell r="B41" t="str">
            <v>Quảng Nam</v>
          </cell>
          <cell r="C41">
            <v>17.3</v>
          </cell>
          <cell r="D41">
            <v>18.100000000000001</v>
          </cell>
          <cell r="E41">
            <v>20.3</v>
          </cell>
          <cell r="F41">
            <v>18.7</v>
          </cell>
          <cell r="G41">
            <v>21.5</v>
          </cell>
          <cell r="H41">
            <v>26.6</v>
          </cell>
          <cell r="I41">
            <v>26.7</v>
          </cell>
          <cell r="J41">
            <v>27.5</v>
          </cell>
        </row>
        <row r="42">
          <cell r="A42">
            <v>51</v>
          </cell>
          <cell r="B42" t="str">
            <v>Quảng Ngãi</v>
          </cell>
          <cell r="C42">
            <v>18.5</v>
          </cell>
          <cell r="D42">
            <v>18.3</v>
          </cell>
          <cell r="E42">
            <v>18.2</v>
          </cell>
          <cell r="F42">
            <v>20.9</v>
          </cell>
          <cell r="G42">
            <v>22</v>
          </cell>
          <cell r="H42">
            <v>26.1</v>
          </cell>
          <cell r="I42">
            <v>25.2</v>
          </cell>
          <cell r="J42">
            <v>26.1</v>
          </cell>
        </row>
        <row r="43">
          <cell r="A43">
            <v>52</v>
          </cell>
          <cell r="B43" t="str">
            <v>Bình Định</v>
          </cell>
          <cell r="C43">
            <v>16.7</v>
          </cell>
          <cell r="D43">
            <v>16.899999999999999</v>
          </cell>
          <cell r="E43">
            <v>21.2</v>
          </cell>
          <cell r="F43">
            <v>19.2</v>
          </cell>
          <cell r="G43">
            <v>21.8</v>
          </cell>
          <cell r="H43">
            <v>25</v>
          </cell>
          <cell r="I43">
            <v>25</v>
          </cell>
          <cell r="J43">
            <v>25.6</v>
          </cell>
        </row>
        <row r="44">
          <cell r="A44">
            <v>54</v>
          </cell>
          <cell r="B44" t="str">
            <v>Phú Yên</v>
          </cell>
          <cell r="C44">
            <v>16.899999999999999</v>
          </cell>
          <cell r="D44">
            <v>18</v>
          </cell>
          <cell r="E44">
            <v>14.8</v>
          </cell>
          <cell r="F44">
            <v>16.600000000000001</v>
          </cell>
          <cell r="G44">
            <v>17.5</v>
          </cell>
          <cell r="H44">
            <v>21.6</v>
          </cell>
          <cell r="I44">
            <v>21.7</v>
          </cell>
          <cell r="J44">
            <v>23.1</v>
          </cell>
        </row>
        <row r="45">
          <cell r="A45">
            <v>56</v>
          </cell>
          <cell r="B45" t="str">
            <v>Khánh Hoà</v>
          </cell>
          <cell r="C45">
            <v>25.2</v>
          </cell>
          <cell r="D45">
            <v>18.7</v>
          </cell>
          <cell r="E45">
            <v>18.8</v>
          </cell>
          <cell r="F45">
            <v>22.8</v>
          </cell>
          <cell r="G45">
            <v>23.9</v>
          </cell>
          <cell r="H45">
            <v>25.6</v>
          </cell>
          <cell r="I45">
            <v>25.3</v>
          </cell>
          <cell r="J45">
            <v>25.3</v>
          </cell>
        </row>
        <row r="46">
          <cell r="A46">
            <v>58</v>
          </cell>
          <cell r="B46" t="str">
            <v>Ninh Thuận</v>
          </cell>
          <cell r="C46">
            <v>15.8</v>
          </cell>
          <cell r="D46">
            <v>15.1</v>
          </cell>
          <cell r="E46">
            <v>19.3</v>
          </cell>
          <cell r="F46">
            <v>18.899999999999999</v>
          </cell>
          <cell r="G46">
            <v>16.2</v>
          </cell>
          <cell r="H46">
            <v>18.8</v>
          </cell>
          <cell r="I46">
            <v>17.7</v>
          </cell>
          <cell r="J46">
            <v>18.600000000000001</v>
          </cell>
        </row>
        <row r="47">
          <cell r="A47">
            <v>60</v>
          </cell>
          <cell r="B47" t="str">
            <v>Bình Thuận</v>
          </cell>
          <cell r="C47">
            <v>13.4</v>
          </cell>
          <cell r="D47">
            <v>15.6</v>
          </cell>
          <cell r="E47">
            <v>14</v>
          </cell>
          <cell r="F47">
            <v>16.3</v>
          </cell>
          <cell r="G47">
            <v>15.7</v>
          </cell>
          <cell r="H47">
            <v>18.3</v>
          </cell>
          <cell r="I47">
            <v>18.5</v>
          </cell>
          <cell r="J47">
            <v>19.5</v>
          </cell>
        </row>
        <row r="48">
          <cell r="A48">
            <v>62</v>
          </cell>
          <cell r="B48" t="str">
            <v>Kon Tum</v>
          </cell>
          <cell r="C48">
            <v>16.2</v>
          </cell>
          <cell r="D48">
            <v>16.600000000000001</v>
          </cell>
          <cell r="E48">
            <v>18</v>
          </cell>
          <cell r="F48">
            <v>12.9</v>
          </cell>
          <cell r="G48">
            <v>16</v>
          </cell>
          <cell r="H48">
            <v>18.2</v>
          </cell>
          <cell r="I48">
            <v>17.600000000000001</v>
          </cell>
          <cell r="J48">
            <v>17.8</v>
          </cell>
        </row>
        <row r="49">
          <cell r="A49">
            <v>64</v>
          </cell>
          <cell r="B49" t="str">
            <v>Gia Lai</v>
          </cell>
          <cell r="C49">
            <v>11</v>
          </cell>
          <cell r="D49">
            <v>11</v>
          </cell>
          <cell r="E49">
            <v>10.4</v>
          </cell>
          <cell r="F49">
            <v>12.5</v>
          </cell>
          <cell r="G49">
            <v>14.9</v>
          </cell>
          <cell r="H49">
            <v>15.9</v>
          </cell>
          <cell r="I49">
            <v>15.3</v>
          </cell>
          <cell r="J49">
            <v>15.3</v>
          </cell>
        </row>
        <row r="50">
          <cell r="A50">
            <v>66</v>
          </cell>
          <cell r="B50" t="str">
            <v>Đắk Lắk</v>
          </cell>
          <cell r="C50">
            <v>13.9</v>
          </cell>
          <cell r="D50">
            <v>14.1</v>
          </cell>
          <cell r="E50">
            <v>14.5</v>
          </cell>
          <cell r="F50">
            <v>14.6</v>
          </cell>
          <cell r="G50">
            <v>17.2</v>
          </cell>
          <cell r="H50">
            <v>18.3</v>
          </cell>
          <cell r="I50">
            <v>18</v>
          </cell>
          <cell r="J50">
            <v>18.3</v>
          </cell>
        </row>
        <row r="51">
          <cell r="A51">
            <v>67</v>
          </cell>
          <cell r="B51" t="str">
            <v>Đắk Nông</v>
          </cell>
          <cell r="C51">
            <v>10.5</v>
          </cell>
          <cell r="D51">
            <v>12.1</v>
          </cell>
          <cell r="E51">
            <v>13.9</v>
          </cell>
          <cell r="F51">
            <v>14.1</v>
          </cell>
          <cell r="G51">
            <v>14.3</v>
          </cell>
          <cell r="H51">
            <v>15.4</v>
          </cell>
          <cell r="I51">
            <v>14.7</v>
          </cell>
          <cell r="J51">
            <v>16.7</v>
          </cell>
        </row>
        <row r="52">
          <cell r="A52">
            <v>68</v>
          </cell>
          <cell r="B52" t="str">
            <v>Lâm Đồng</v>
          </cell>
          <cell r="C52">
            <v>15.2</v>
          </cell>
          <cell r="D52">
            <v>15</v>
          </cell>
          <cell r="E52">
            <v>16.600000000000001</v>
          </cell>
          <cell r="F52">
            <v>16.7</v>
          </cell>
          <cell r="G52">
            <v>18.5</v>
          </cell>
          <cell r="H52">
            <v>20.5</v>
          </cell>
          <cell r="I52">
            <v>21.8</v>
          </cell>
          <cell r="J52">
            <v>22.7</v>
          </cell>
        </row>
        <row r="53">
          <cell r="A53">
            <v>70</v>
          </cell>
          <cell r="B53" t="str">
            <v>Bình Phước</v>
          </cell>
          <cell r="C53">
            <v>13.7</v>
          </cell>
          <cell r="D53">
            <v>14</v>
          </cell>
          <cell r="E53">
            <v>16.8</v>
          </cell>
          <cell r="F53">
            <v>15.8</v>
          </cell>
          <cell r="G53">
            <v>18.100000000000001</v>
          </cell>
          <cell r="H53">
            <v>19.2</v>
          </cell>
          <cell r="I53">
            <v>20.100000000000001</v>
          </cell>
          <cell r="J53">
            <v>20</v>
          </cell>
        </row>
        <row r="54">
          <cell r="A54">
            <v>72</v>
          </cell>
          <cell r="B54" t="str">
            <v>Tây Ninh</v>
          </cell>
          <cell r="C54">
            <v>14.1</v>
          </cell>
          <cell r="D54">
            <v>14.1</v>
          </cell>
          <cell r="E54">
            <v>14.8</v>
          </cell>
          <cell r="F54">
            <v>12.7</v>
          </cell>
          <cell r="G54">
            <v>14.7</v>
          </cell>
          <cell r="H54">
            <v>16</v>
          </cell>
          <cell r="I54">
            <v>17.8</v>
          </cell>
          <cell r="J54">
            <v>18.2</v>
          </cell>
        </row>
        <row r="55">
          <cell r="A55">
            <v>74</v>
          </cell>
          <cell r="B55" t="str">
            <v>Bình Dương</v>
          </cell>
          <cell r="C55">
            <v>17.100000000000001</v>
          </cell>
          <cell r="D55">
            <v>18.7</v>
          </cell>
          <cell r="E55">
            <v>20.6</v>
          </cell>
          <cell r="F55">
            <v>21.9</v>
          </cell>
          <cell r="G55">
            <v>20.100000000000001</v>
          </cell>
          <cell r="H55">
            <v>21</v>
          </cell>
          <cell r="I55">
            <v>21.1</v>
          </cell>
          <cell r="J55">
            <v>23.3</v>
          </cell>
        </row>
        <row r="56">
          <cell r="A56">
            <v>75</v>
          </cell>
          <cell r="B56" t="str">
            <v>Đồng Nai</v>
          </cell>
          <cell r="C56">
            <v>20.6</v>
          </cell>
          <cell r="D56">
            <v>21.5</v>
          </cell>
          <cell r="E56">
            <v>20.100000000000001</v>
          </cell>
          <cell r="F56">
            <v>20</v>
          </cell>
          <cell r="G56">
            <v>22.5</v>
          </cell>
          <cell r="H56">
            <v>21.9</v>
          </cell>
          <cell r="I56">
            <v>22.3</v>
          </cell>
          <cell r="J56">
            <v>22.8</v>
          </cell>
        </row>
        <row r="57">
          <cell r="A57">
            <v>77</v>
          </cell>
          <cell r="B57" t="str">
            <v>Bà Rịa-Vũng Tàu(***)</v>
          </cell>
          <cell r="C57">
            <v>25.7</v>
          </cell>
          <cell r="D57">
            <v>26.5</v>
          </cell>
          <cell r="E57">
            <v>25.9</v>
          </cell>
          <cell r="F57">
            <v>27.8</v>
          </cell>
          <cell r="G57">
            <v>30.1</v>
          </cell>
          <cell r="H57">
            <v>29.9</v>
          </cell>
          <cell r="I57">
            <v>28</v>
          </cell>
          <cell r="J57">
            <v>28.8</v>
          </cell>
        </row>
        <row r="58">
          <cell r="A58">
            <v>79</v>
          </cell>
          <cell r="B58" t="str">
            <v>TP Hồ Chí Minh</v>
          </cell>
          <cell r="C58">
            <v>34.700000000000003</v>
          </cell>
          <cell r="D58">
            <v>36.6</v>
          </cell>
          <cell r="E58">
            <v>36.799999999999997</v>
          </cell>
          <cell r="F58">
            <v>37.1</v>
          </cell>
          <cell r="G58">
            <v>38.700000000000003</v>
          </cell>
          <cell r="H58">
            <v>35.6</v>
          </cell>
          <cell r="I58">
            <v>35.6</v>
          </cell>
          <cell r="J58">
            <v>36</v>
          </cell>
        </row>
        <row r="59">
          <cell r="A59">
            <v>80</v>
          </cell>
          <cell r="B59" t="str">
            <v>Long An</v>
          </cell>
          <cell r="C59">
            <v>12.4</v>
          </cell>
          <cell r="D59">
            <v>14.6</v>
          </cell>
          <cell r="E59">
            <v>16.100000000000001</v>
          </cell>
          <cell r="F59">
            <v>16.7</v>
          </cell>
          <cell r="G59">
            <v>15.9</v>
          </cell>
          <cell r="H59">
            <v>15.1</v>
          </cell>
          <cell r="I59">
            <v>15.1</v>
          </cell>
          <cell r="J59">
            <v>15.9</v>
          </cell>
        </row>
        <row r="60">
          <cell r="A60">
            <v>82</v>
          </cell>
          <cell r="B60" t="str">
            <v>Tiền Giang</v>
          </cell>
          <cell r="C60">
            <v>11.5</v>
          </cell>
          <cell r="D60">
            <v>10.199999999999999</v>
          </cell>
          <cell r="E60">
            <v>11.8</v>
          </cell>
          <cell r="F60">
            <v>11.7</v>
          </cell>
          <cell r="G60">
            <v>14.2</v>
          </cell>
          <cell r="H60">
            <v>13.8</v>
          </cell>
          <cell r="I60">
            <v>13.3</v>
          </cell>
          <cell r="J60">
            <v>14.2</v>
          </cell>
        </row>
        <row r="61">
          <cell r="A61">
            <v>83</v>
          </cell>
          <cell r="B61" t="str">
            <v>Bến Tre</v>
          </cell>
          <cell r="C61">
            <v>12.4</v>
          </cell>
          <cell r="D61">
            <v>12.9</v>
          </cell>
          <cell r="E61">
            <v>9.1999999999999993</v>
          </cell>
          <cell r="F61">
            <v>11.6</v>
          </cell>
          <cell r="G61">
            <v>12.6</v>
          </cell>
          <cell r="H61">
            <v>12.9</v>
          </cell>
          <cell r="I61">
            <v>11.9</v>
          </cell>
          <cell r="J61">
            <v>12.7</v>
          </cell>
        </row>
        <row r="62">
          <cell r="A62">
            <v>84</v>
          </cell>
          <cell r="B62" t="str">
            <v>Trà Vinh</v>
          </cell>
          <cell r="C62">
            <v>11.5</v>
          </cell>
          <cell r="D62">
            <v>12.1</v>
          </cell>
          <cell r="E62">
            <v>10.9</v>
          </cell>
          <cell r="F62">
            <v>11.8</v>
          </cell>
          <cell r="G62">
            <v>11.6</v>
          </cell>
          <cell r="H62">
            <v>10.8</v>
          </cell>
          <cell r="I62">
            <v>12.1</v>
          </cell>
          <cell r="J62">
            <v>16.8</v>
          </cell>
        </row>
        <row r="63">
          <cell r="A63">
            <v>86</v>
          </cell>
          <cell r="B63" t="str">
            <v>Vĩnh Long</v>
          </cell>
          <cell r="C63">
            <v>14.9</v>
          </cell>
          <cell r="D63">
            <v>15.7</v>
          </cell>
          <cell r="E63">
            <v>18.100000000000001</v>
          </cell>
          <cell r="F63">
            <v>15.3</v>
          </cell>
          <cell r="G63">
            <v>15.8</v>
          </cell>
          <cell r="H63">
            <v>15.6</v>
          </cell>
          <cell r="I63">
            <v>14.5</v>
          </cell>
          <cell r="J63">
            <v>15.9</v>
          </cell>
        </row>
        <row r="64">
          <cell r="A64">
            <v>87</v>
          </cell>
          <cell r="B64" t="str">
            <v>Đồng Tháp</v>
          </cell>
          <cell r="C64">
            <v>11.9</v>
          </cell>
          <cell r="D64">
            <v>15.3</v>
          </cell>
          <cell r="E64">
            <v>11.4</v>
          </cell>
          <cell r="F64">
            <v>13.5</v>
          </cell>
          <cell r="G64">
            <v>15</v>
          </cell>
          <cell r="H64">
            <v>14.3</v>
          </cell>
          <cell r="I64">
            <v>14.4</v>
          </cell>
          <cell r="J64">
            <v>14.6</v>
          </cell>
        </row>
        <row r="65">
          <cell r="A65">
            <v>89</v>
          </cell>
          <cell r="B65" t="str">
            <v>An Giang</v>
          </cell>
          <cell r="C65">
            <v>10.4</v>
          </cell>
          <cell r="D65">
            <v>12.5</v>
          </cell>
          <cell r="E65">
            <v>13.6</v>
          </cell>
          <cell r="F65">
            <v>14.6</v>
          </cell>
          <cell r="G65">
            <v>13.9</v>
          </cell>
          <cell r="H65">
            <v>13.4</v>
          </cell>
          <cell r="I65">
            <v>14.5</v>
          </cell>
          <cell r="J65">
            <v>15.5</v>
          </cell>
        </row>
        <row r="66">
          <cell r="A66">
            <v>91</v>
          </cell>
          <cell r="B66" t="str">
            <v>Kiên Giang</v>
          </cell>
          <cell r="C66">
            <v>12.4</v>
          </cell>
          <cell r="D66">
            <v>10.8</v>
          </cell>
          <cell r="E66">
            <v>15.4</v>
          </cell>
          <cell r="F66">
            <v>13.6</v>
          </cell>
          <cell r="G66">
            <v>14.8</v>
          </cell>
          <cell r="H66">
            <v>15.7</v>
          </cell>
          <cell r="I66">
            <v>16</v>
          </cell>
          <cell r="J66">
            <v>16.8</v>
          </cell>
        </row>
        <row r="67">
          <cell r="A67">
            <v>92</v>
          </cell>
          <cell r="B67" t="str">
            <v>Cần Thơ</v>
          </cell>
          <cell r="C67">
            <v>20.399999999999999</v>
          </cell>
          <cell r="D67">
            <v>21.1</v>
          </cell>
          <cell r="E67">
            <v>24.2</v>
          </cell>
          <cell r="F67">
            <v>16.399999999999999</v>
          </cell>
          <cell r="G67">
            <v>20.6</v>
          </cell>
          <cell r="H67">
            <v>24.2</v>
          </cell>
          <cell r="I67">
            <v>22.9</v>
          </cell>
          <cell r="J67">
            <v>23.3</v>
          </cell>
        </row>
        <row r="68">
          <cell r="A68">
            <v>93</v>
          </cell>
          <cell r="B68" t="str">
            <v>Hậu Giang</v>
          </cell>
          <cell r="C68">
            <v>10</v>
          </cell>
          <cell r="D68">
            <v>9</v>
          </cell>
          <cell r="E68">
            <v>9.6999999999999993</v>
          </cell>
          <cell r="F68">
            <v>10.8</v>
          </cell>
          <cell r="G68">
            <v>14.2</v>
          </cell>
          <cell r="H68">
            <v>13.5</v>
          </cell>
          <cell r="I68">
            <v>12.5</v>
          </cell>
          <cell r="J68">
            <v>13.7</v>
          </cell>
        </row>
        <row r="69">
          <cell r="A69">
            <v>94</v>
          </cell>
          <cell r="B69" t="str">
            <v>Sóc Trăng</v>
          </cell>
          <cell r="C69">
            <v>10.3</v>
          </cell>
          <cell r="D69">
            <v>10.4</v>
          </cell>
          <cell r="E69">
            <v>11.4</v>
          </cell>
          <cell r="F69">
            <v>12.2</v>
          </cell>
          <cell r="G69">
            <v>15.2</v>
          </cell>
          <cell r="H69">
            <v>11.9</v>
          </cell>
          <cell r="I69">
            <v>12</v>
          </cell>
          <cell r="J69">
            <v>12.2</v>
          </cell>
        </row>
        <row r="70">
          <cell r="A70">
            <v>95</v>
          </cell>
          <cell r="B70" t="str">
            <v>Bạc Liêu</v>
          </cell>
          <cell r="C70">
            <v>10</v>
          </cell>
          <cell r="D70">
            <v>11.3</v>
          </cell>
          <cell r="E70">
            <v>8.1999999999999993</v>
          </cell>
          <cell r="F70">
            <v>8.8000000000000007</v>
          </cell>
          <cell r="G70">
            <v>10.3</v>
          </cell>
          <cell r="H70">
            <v>10.7</v>
          </cell>
          <cell r="I70">
            <v>12.2</v>
          </cell>
          <cell r="J70">
            <v>13.1</v>
          </cell>
        </row>
        <row r="71">
          <cell r="A71">
            <v>96</v>
          </cell>
          <cell r="B71" t="str">
            <v>Cà Mau</v>
          </cell>
          <cell r="C71">
            <v>10.5</v>
          </cell>
          <cell r="D71">
            <v>10.4</v>
          </cell>
          <cell r="E71">
            <v>12.5</v>
          </cell>
          <cell r="F71">
            <v>12.3</v>
          </cell>
          <cell r="G71">
            <v>13</v>
          </cell>
          <cell r="H71">
            <v>14.1</v>
          </cell>
          <cell r="I71">
            <v>14.3</v>
          </cell>
          <cell r="J71">
            <v>15.1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88.6</v>
          </cell>
          <cell r="D9">
            <v>98.4</v>
          </cell>
          <cell r="E9">
            <v>91.8</v>
          </cell>
          <cell r="F9">
            <v>46.8</v>
          </cell>
        </row>
        <row r="10">
          <cell r="A10" t="str">
            <v>02</v>
          </cell>
          <cell r="B10" t="str">
            <v>Hà Giang</v>
          </cell>
          <cell r="C10">
            <v>94.2</v>
          </cell>
          <cell r="D10">
            <v>98.4</v>
          </cell>
          <cell r="E10">
            <v>96.3</v>
          </cell>
          <cell r="F10">
            <v>57.7</v>
          </cell>
        </row>
        <row r="11">
          <cell r="A11" t="str">
            <v>04</v>
          </cell>
          <cell r="B11" t="str">
            <v>Cao Bằng</v>
          </cell>
          <cell r="C11">
            <v>96.5</v>
          </cell>
          <cell r="D11">
            <v>98.7</v>
          </cell>
          <cell r="E11">
            <v>97.6</v>
          </cell>
          <cell r="F11">
            <v>64.599999999999994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>
            <v>61.6</v>
          </cell>
        </row>
        <row r="14">
          <cell r="A14">
            <v>10</v>
          </cell>
          <cell r="B14" t="str">
            <v>Lào Cai</v>
          </cell>
          <cell r="C14">
            <v>93.4</v>
          </cell>
          <cell r="D14">
            <v>97.5</v>
          </cell>
          <cell r="E14">
            <v>96.1</v>
          </cell>
          <cell r="F14">
            <v>59.8</v>
          </cell>
        </row>
        <row r="15">
          <cell r="A15">
            <v>11</v>
          </cell>
          <cell r="B15" t="str">
            <v>Điện Biên</v>
          </cell>
          <cell r="C15">
            <v>96.9</v>
          </cell>
          <cell r="D15">
            <v>97.3</v>
          </cell>
          <cell r="E15">
            <v>96.8</v>
          </cell>
          <cell r="F15">
            <v>56.5</v>
          </cell>
        </row>
        <row r="16">
          <cell r="A16">
            <v>12</v>
          </cell>
          <cell r="B16" t="str">
            <v>Lai Châu</v>
          </cell>
          <cell r="C16">
            <v>95</v>
          </cell>
          <cell r="D16">
            <v>94.4</v>
          </cell>
          <cell r="E16">
            <v>97.2</v>
          </cell>
          <cell r="F16">
            <v>59.5</v>
          </cell>
        </row>
        <row r="17">
          <cell r="A17">
            <v>14</v>
          </cell>
          <cell r="B17" t="str">
            <v>Sơn La</v>
          </cell>
          <cell r="C17">
            <v>94.4</v>
          </cell>
          <cell r="D17">
            <v>90</v>
          </cell>
          <cell r="E17">
            <v>93</v>
          </cell>
          <cell r="F17">
            <v>59.6</v>
          </cell>
        </row>
        <row r="18">
          <cell r="A18">
            <v>15</v>
          </cell>
          <cell r="B18" t="str">
            <v>Yên Bái</v>
          </cell>
          <cell r="C18">
            <v>88.9</v>
          </cell>
          <cell r="D18">
            <v>89.6</v>
          </cell>
          <cell r="E18">
            <v>94</v>
          </cell>
          <cell r="F18">
            <v>57.2</v>
          </cell>
        </row>
        <row r="19">
          <cell r="A19">
            <v>17</v>
          </cell>
          <cell r="B19" t="str">
            <v>Hoà Bình</v>
          </cell>
          <cell r="C19">
            <v>91.1</v>
          </cell>
          <cell r="D19">
            <v>86.8</v>
          </cell>
          <cell r="E19">
            <v>93.9</v>
          </cell>
          <cell r="F19">
            <v>61.6</v>
          </cell>
        </row>
        <row r="20">
          <cell r="A20">
            <v>19</v>
          </cell>
          <cell r="B20" t="str">
            <v>Thái Nguyên</v>
          </cell>
          <cell r="C20">
            <v>89.1</v>
          </cell>
          <cell r="D20">
            <v>96.1</v>
          </cell>
          <cell r="E20">
            <v>86.5</v>
          </cell>
          <cell r="F20">
            <v>52.3</v>
          </cell>
        </row>
        <row r="21">
          <cell r="A21">
            <v>20</v>
          </cell>
          <cell r="B21" t="str">
            <v>Lạng Sơn</v>
          </cell>
          <cell r="C21">
            <v>90.1</v>
          </cell>
          <cell r="D21">
            <v>92.6</v>
          </cell>
          <cell r="E21">
            <v>95.8</v>
          </cell>
          <cell r="F21">
            <v>55.7</v>
          </cell>
        </row>
        <row r="22">
          <cell r="A22">
            <v>22</v>
          </cell>
          <cell r="B22" t="str">
            <v>Quảng Ninh</v>
          </cell>
          <cell r="C22">
            <v>88.5</v>
          </cell>
          <cell r="D22">
            <v>92.1</v>
          </cell>
          <cell r="E22">
            <v>91</v>
          </cell>
          <cell r="F22">
            <v>52</v>
          </cell>
        </row>
        <row r="23">
          <cell r="A23">
            <v>24</v>
          </cell>
          <cell r="B23" t="str">
            <v>Bắc Giang</v>
          </cell>
          <cell r="C23">
            <v>92</v>
          </cell>
          <cell r="D23">
            <v>87.6</v>
          </cell>
          <cell r="E23">
            <v>96.4</v>
          </cell>
          <cell r="F23">
            <v>57.8</v>
          </cell>
        </row>
        <row r="24">
          <cell r="A24">
            <v>25</v>
          </cell>
          <cell r="B24" t="str">
            <v>Phú Thọ</v>
          </cell>
          <cell r="C24">
            <v>84.8</v>
          </cell>
          <cell r="D24">
            <v>97.4</v>
          </cell>
          <cell r="E24">
            <v>89.8</v>
          </cell>
          <cell r="F24">
            <v>54.3</v>
          </cell>
        </row>
        <row r="25">
          <cell r="A25">
            <v>26</v>
          </cell>
          <cell r="B25" t="str">
            <v>Vĩnh Phúc</v>
          </cell>
          <cell r="C25">
            <v>94.7</v>
          </cell>
          <cell r="D25">
            <v>77</v>
          </cell>
          <cell r="E25">
            <v>96.6</v>
          </cell>
          <cell r="F25">
            <v>59.2</v>
          </cell>
        </row>
        <row r="26">
          <cell r="A26">
            <v>27</v>
          </cell>
          <cell r="B26" t="str">
            <v>Bắc Ninh</v>
          </cell>
          <cell r="C26">
            <v>75.8</v>
          </cell>
          <cell r="D26">
            <v>92.7</v>
          </cell>
          <cell r="E26">
            <v>82</v>
          </cell>
          <cell r="F26">
            <v>48.9</v>
          </cell>
        </row>
        <row r="27">
          <cell r="A27">
            <v>30</v>
          </cell>
          <cell r="B27" t="str">
            <v>Hải Dương</v>
          </cell>
          <cell r="C27">
            <v>92.1</v>
          </cell>
          <cell r="D27">
            <v>92.7</v>
          </cell>
          <cell r="E27">
            <v>90.4</v>
          </cell>
          <cell r="F27">
            <v>51.1</v>
          </cell>
        </row>
        <row r="28">
          <cell r="A28">
            <v>31</v>
          </cell>
          <cell r="B28" t="str">
            <v>Hải Phòng</v>
          </cell>
          <cell r="C28">
            <v>87.7</v>
          </cell>
          <cell r="D28">
            <v>91.9</v>
          </cell>
          <cell r="E28">
            <v>93.3</v>
          </cell>
          <cell r="F28">
            <v>47.4</v>
          </cell>
        </row>
        <row r="29">
          <cell r="A29">
            <v>33</v>
          </cell>
          <cell r="B29" t="str">
            <v>Hưng Yên</v>
          </cell>
          <cell r="C29">
            <v>90.9</v>
          </cell>
          <cell r="D29">
            <v>93.6</v>
          </cell>
          <cell r="E29">
            <v>90.2</v>
          </cell>
          <cell r="F29">
            <v>55.1</v>
          </cell>
        </row>
        <row r="30">
          <cell r="A30">
            <v>34</v>
          </cell>
          <cell r="B30" t="str">
            <v>Thái Bình</v>
          </cell>
          <cell r="C30">
            <v>92.8</v>
          </cell>
          <cell r="D30">
            <v>97.1</v>
          </cell>
          <cell r="E30">
            <v>89.3</v>
          </cell>
          <cell r="F30">
            <v>51.6</v>
          </cell>
        </row>
        <row r="31">
          <cell r="A31">
            <v>35</v>
          </cell>
          <cell r="B31" t="str">
            <v>Hà Nam</v>
          </cell>
          <cell r="C31">
            <v>95.3</v>
          </cell>
          <cell r="D31">
            <v>86.7</v>
          </cell>
          <cell r="E31">
            <v>97.3</v>
          </cell>
          <cell r="F31">
            <v>53.5</v>
          </cell>
        </row>
        <row r="32">
          <cell r="A32">
            <v>36</v>
          </cell>
          <cell r="B32" t="str">
            <v>Nam Định</v>
          </cell>
          <cell r="C32">
            <v>82.9</v>
          </cell>
          <cell r="D32">
            <v>84.7</v>
          </cell>
          <cell r="E32">
            <v>92.2</v>
          </cell>
          <cell r="F32">
            <v>57.8</v>
          </cell>
        </row>
        <row r="33">
          <cell r="A33">
            <v>37</v>
          </cell>
          <cell r="B33" t="str">
            <v>Ninh Bình</v>
          </cell>
          <cell r="C33">
            <v>84.7</v>
          </cell>
          <cell r="D33">
            <v>94.1</v>
          </cell>
          <cell r="E33">
            <v>81.900000000000006</v>
          </cell>
          <cell r="F33">
            <v>51.6</v>
          </cell>
        </row>
        <row r="34">
          <cell r="A34">
            <v>38</v>
          </cell>
          <cell r="B34" t="str">
            <v>Thanh Hoá</v>
          </cell>
          <cell r="C34">
            <v>89.1</v>
          </cell>
          <cell r="D34">
            <v>94.4</v>
          </cell>
          <cell r="E34">
            <v>93.3</v>
          </cell>
          <cell r="F34">
            <v>58.6</v>
          </cell>
        </row>
        <row r="35">
          <cell r="A35">
            <v>40</v>
          </cell>
          <cell r="B35" t="str">
            <v>Nghệ An</v>
          </cell>
          <cell r="C35">
            <v>95.7</v>
          </cell>
          <cell r="D35">
            <v>94.8</v>
          </cell>
          <cell r="E35">
            <v>93.3</v>
          </cell>
          <cell r="F35">
            <v>50</v>
          </cell>
        </row>
        <row r="36">
          <cell r="A36">
            <v>42</v>
          </cell>
          <cell r="B36" t="str">
            <v>Hà Tĩnh</v>
          </cell>
          <cell r="C36">
            <v>93.7</v>
          </cell>
          <cell r="D36">
            <v>94.3</v>
          </cell>
          <cell r="E36">
            <v>96.2</v>
          </cell>
          <cell r="F36">
            <v>45.1</v>
          </cell>
        </row>
        <row r="37">
          <cell r="A37">
            <v>44</v>
          </cell>
          <cell r="B37" t="str">
            <v>Quảng Bình</v>
          </cell>
          <cell r="C37">
            <v>92.1</v>
          </cell>
          <cell r="D37">
            <v>87.2</v>
          </cell>
          <cell r="E37">
            <v>93.2</v>
          </cell>
          <cell r="F37">
            <v>47.4</v>
          </cell>
        </row>
        <row r="38">
          <cell r="A38">
            <v>45</v>
          </cell>
          <cell r="B38" t="str">
            <v>Quảng Trị</v>
          </cell>
          <cell r="C38">
            <v>86.1</v>
          </cell>
          <cell r="D38">
            <v>90.2</v>
          </cell>
          <cell r="E38">
            <v>86.9</v>
          </cell>
          <cell r="F38">
            <v>48.3</v>
          </cell>
        </row>
        <row r="39">
          <cell r="A39">
            <v>46</v>
          </cell>
          <cell r="B39" t="str">
            <v>Thừa Thiên Huế</v>
          </cell>
          <cell r="C39">
            <v>86.6</v>
          </cell>
          <cell r="D39">
            <v>90.8</v>
          </cell>
          <cell r="E39">
            <v>89.7</v>
          </cell>
          <cell r="F39">
            <v>41.7</v>
          </cell>
        </row>
        <row r="40">
          <cell r="A40">
            <v>48</v>
          </cell>
          <cell r="B40" t="str">
            <v>Đà Nẵng</v>
          </cell>
          <cell r="C40">
            <v>89.1</v>
          </cell>
          <cell r="D40">
            <v>94</v>
          </cell>
          <cell r="E40">
            <v>88.4</v>
          </cell>
          <cell r="F40">
            <v>41.3</v>
          </cell>
        </row>
        <row r="41">
          <cell r="A41">
            <v>49</v>
          </cell>
          <cell r="B41" t="str">
            <v>Quảng Nam</v>
          </cell>
          <cell r="C41">
            <v>91.4</v>
          </cell>
          <cell r="D41">
            <v>94</v>
          </cell>
          <cell r="E41">
            <v>94.1</v>
          </cell>
          <cell r="F41">
            <v>47.8</v>
          </cell>
        </row>
        <row r="42">
          <cell r="A42">
            <v>51</v>
          </cell>
          <cell r="B42" t="str">
            <v>Quảng Ngãi</v>
          </cell>
          <cell r="C42">
            <v>90.4</v>
          </cell>
          <cell r="D42">
            <v>94.9</v>
          </cell>
          <cell r="E42">
            <v>94.8</v>
          </cell>
          <cell r="F42">
            <v>55.2</v>
          </cell>
        </row>
        <row r="43">
          <cell r="A43">
            <v>52</v>
          </cell>
          <cell r="B43" t="str">
            <v>Bình Định</v>
          </cell>
          <cell r="C43">
            <v>88.6</v>
          </cell>
          <cell r="D43">
            <v>85.1</v>
          </cell>
          <cell r="E43">
            <v>93.3</v>
          </cell>
          <cell r="F43">
            <v>49.7</v>
          </cell>
        </row>
        <row r="44">
          <cell r="A44">
            <v>54</v>
          </cell>
          <cell r="B44" t="str">
            <v>Phú Yên</v>
          </cell>
          <cell r="C44">
            <v>84.9</v>
          </cell>
          <cell r="D44">
            <v>92.4</v>
          </cell>
          <cell r="E44">
            <v>83</v>
          </cell>
          <cell r="F44">
            <v>45.8</v>
          </cell>
        </row>
        <row r="45">
          <cell r="A45">
            <v>56</v>
          </cell>
          <cell r="B45" t="str">
            <v>Khánh Hoà</v>
          </cell>
          <cell r="C45">
            <v>91.2</v>
          </cell>
          <cell r="D45">
            <v>93</v>
          </cell>
          <cell r="E45">
            <v>91.5</v>
          </cell>
          <cell r="F45">
            <v>42.1</v>
          </cell>
        </row>
        <row r="46">
          <cell r="A46">
            <v>58</v>
          </cell>
          <cell r="B46" t="str">
            <v>Ninh Thuận</v>
          </cell>
          <cell r="C46">
            <v>89.6</v>
          </cell>
          <cell r="D46">
            <v>95.9</v>
          </cell>
          <cell r="E46">
            <v>92.9</v>
          </cell>
          <cell r="F46">
            <v>47.5</v>
          </cell>
        </row>
        <row r="47">
          <cell r="A47">
            <v>60</v>
          </cell>
          <cell r="B47" t="str">
            <v>Bình Thuận</v>
          </cell>
          <cell r="C47">
            <v>92.9</v>
          </cell>
          <cell r="D47">
            <v>96.5</v>
          </cell>
          <cell r="E47">
            <v>94.8</v>
          </cell>
          <cell r="F47">
            <v>51.5</v>
          </cell>
        </row>
        <row r="48">
          <cell r="A48">
            <v>62</v>
          </cell>
          <cell r="B48" t="str">
            <v>Kon Tum</v>
          </cell>
          <cell r="C48">
            <v>91.4</v>
          </cell>
          <cell r="D48">
            <v>91.9</v>
          </cell>
          <cell r="E48">
            <v>94.6</v>
          </cell>
          <cell r="F48">
            <v>52.4</v>
          </cell>
        </row>
        <row r="49">
          <cell r="A49">
            <v>64</v>
          </cell>
          <cell r="B49" t="str">
            <v>Gia Lai</v>
          </cell>
          <cell r="C49">
            <v>83.8</v>
          </cell>
          <cell r="D49">
            <v>86.8</v>
          </cell>
          <cell r="E49">
            <v>92.3</v>
          </cell>
          <cell r="F49">
            <v>52.2</v>
          </cell>
        </row>
        <row r="50">
          <cell r="A50">
            <v>66</v>
          </cell>
          <cell r="B50" t="str">
            <v>Đắk Lắk</v>
          </cell>
          <cell r="C50">
            <v>85.9</v>
          </cell>
          <cell r="D50">
            <v>87.2</v>
          </cell>
          <cell r="E50">
            <v>93.4</v>
          </cell>
          <cell r="F50">
            <v>51.9</v>
          </cell>
        </row>
        <row r="51">
          <cell r="A51">
            <v>67</v>
          </cell>
          <cell r="B51" t="str">
            <v>Đắk Nông</v>
          </cell>
          <cell r="C51">
            <v>84.3</v>
          </cell>
          <cell r="D51">
            <v>89.8</v>
          </cell>
          <cell r="E51">
            <v>88.8</v>
          </cell>
          <cell r="F51">
            <v>48</v>
          </cell>
        </row>
        <row r="52">
          <cell r="A52">
            <v>68</v>
          </cell>
          <cell r="B52" t="str">
            <v>Lâm Đồng</v>
          </cell>
          <cell r="C52">
            <v>89.9</v>
          </cell>
          <cell r="D52">
            <v>95.1</v>
          </cell>
          <cell r="E52">
            <v>88.2</v>
          </cell>
          <cell r="F52">
            <v>45.4</v>
          </cell>
        </row>
        <row r="53">
          <cell r="A53">
            <v>70</v>
          </cell>
          <cell r="B53" t="str">
            <v>Bình Phước</v>
          </cell>
          <cell r="C53">
            <v>90.2</v>
          </cell>
          <cell r="D53">
            <v>93.1</v>
          </cell>
          <cell r="E53">
            <v>94.9</v>
          </cell>
          <cell r="F53">
            <v>51.2</v>
          </cell>
        </row>
        <row r="54">
          <cell r="A54">
            <v>72</v>
          </cell>
          <cell r="B54" t="str">
            <v>Tây Ninh</v>
          </cell>
          <cell r="C54">
            <v>92.1</v>
          </cell>
          <cell r="D54">
            <v>92.2</v>
          </cell>
          <cell r="E54">
            <v>95.9</v>
          </cell>
          <cell r="F54">
            <v>43.8</v>
          </cell>
        </row>
        <row r="55">
          <cell r="A55">
            <v>74</v>
          </cell>
          <cell r="B55" t="str">
            <v>Bình Dương</v>
          </cell>
          <cell r="C55">
            <v>90.3</v>
          </cell>
          <cell r="D55">
            <v>93.3</v>
          </cell>
          <cell r="E55">
            <v>93.9</v>
          </cell>
          <cell r="F55">
            <v>51.5</v>
          </cell>
        </row>
        <row r="56">
          <cell r="A56">
            <v>75</v>
          </cell>
          <cell r="B56" t="str">
            <v>Đồng Nai</v>
          </cell>
          <cell r="C56">
            <v>87.8</v>
          </cell>
          <cell r="D56">
            <v>97.4</v>
          </cell>
          <cell r="E56">
            <v>87.5</v>
          </cell>
          <cell r="F56">
            <v>44.4</v>
          </cell>
        </row>
        <row r="57">
          <cell r="A57">
            <v>77</v>
          </cell>
          <cell r="B57" t="str">
            <v>Bà Rịa-Vũng Tàu(***)</v>
          </cell>
          <cell r="C57">
            <v>94.4</v>
          </cell>
          <cell r="D57">
            <v>93.8</v>
          </cell>
          <cell r="E57">
            <v>94.9</v>
          </cell>
          <cell r="F57">
            <v>46.7</v>
          </cell>
        </row>
        <row r="58">
          <cell r="A58">
            <v>79</v>
          </cell>
          <cell r="B58" t="str">
            <v>TP Hồ Chí Minh</v>
          </cell>
          <cell r="C58">
            <v>90.7</v>
          </cell>
          <cell r="D58">
            <v>96.8</v>
          </cell>
          <cell r="E58">
            <v>93.7</v>
          </cell>
          <cell r="F58">
            <v>39.1</v>
          </cell>
        </row>
        <row r="59">
          <cell r="A59">
            <v>80</v>
          </cell>
          <cell r="B59" t="str">
            <v>Long An</v>
          </cell>
          <cell r="C59">
            <v>94.5</v>
          </cell>
          <cell r="D59">
            <v>93.1</v>
          </cell>
          <cell r="E59">
            <v>96.4</v>
          </cell>
          <cell r="F59">
            <v>45.8</v>
          </cell>
        </row>
        <row r="60">
          <cell r="A60">
            <v>82</v>
          </cell>
          <cell r="B60" t="str">
            <v>Tiền Giang</v>
          </cell>
          <cell r="C60">
            <v>90.9</v>
          </cell>
          <cell r="D60">
            <v>87.1</v>
          </cell>
          <cell r="E60">
            <v>94.8</v>
          </cell>
          <cell r="F60">
            <v>47.9</v>
          </cell>
        </row>
        <row r="61">
          <cell r="A61">
            <v>83</v>
          </cell>
          <cell r="B61" t="str">
            <v>Bến Tre</v>
          </cell>
          <cell r="C61">
            <v>83.6</v>
          </cell>
          <cell r="D61">
            <v>84.8</v>
          </cell>
          <cell r="E61">
            <v>89.9</v>
          </cell>
          <cell r="F61">
            <v>45.2</v>
          </cell>
        </row>
        <row r="62">
          <cell r="A62">
            <v>84</v>
          </cell>
          <cell r="B62" t="str">
            <v>Trà Vinh</v>
          </cell>
          <cell r="C62">
            <v>88.4</v>
          </cell>
          <cell r="D62">
            <v>90.7</v>
          </cell>
          <cell r="E62">
            <v>87.1</v>
          </cell>
          <cell r="F62">
            <v>47</v>
          </cell>
        </row>
        <row r="63">
          <cell r="A63">
            <v>86</v>
          </cell>
          <cell r="B63" t="str">
            <v>Vĩnh Long</v>
          </cell>
          <cell r="C63">
            <v>87.2</v>
          </cell>
          <cell r="D63">
            <v>95.5</v>
          </cell>
          <cell r="E63">
            <v>95.2</v>
          </cell>
          <cell r="F63">
            <v>44.5</v>
          </cell>
        </row>
        <row r="64">
          <cell r="A64">
            <v>87</v>
          </cell>
          <cell r="B64" t="str">
            <v>Đồng Tháp</v>
          </cell>
          <cell r="C64">
            <v>93.6</v>
          </cell>
          <cell r="D64">
            <v>92</v>
          </cell>
          <cell r="E64">
            <v>95.3</v>
          </cell>
          <cell r="F64">
            <v>48.5</v>
          </cell>
        </row>
        <row r="65">
          <cell r="A65">
            <v>89</v>
          </cell>
          <cell r="B65" t="str">
            <v>An Giang</v>
          </cell>
          <cell r="C65">
            <v>90.4</v>
          </cell>
          <cell r="D65">
            <v>96</v>
          </cell>
          <cell r="E65">
            <v>95.2</v>
          </cell>
          <cell r="F65">
            <v>49.2</v>
          </cell>
        </row>
        <row r="66">
          <cell r="A66">
            <v>91</v>
          </cell>
          <cell r="B66" t="str">
            <v>Kiên Giang</v>
          </cell>
          <cell r="C66">
            <v>92</v>
          </cell>
          <cell r="D66">
            <v>90.3</v>
          </cell>
          <cell r="E66">
            <v>95.4</v>
          </cell>
          <cell r="F66">
            <v>49.7</v>
          </cell>
        </row>
        <row r="67">
          <cell r="A67">
            <v>92</v>
          </cell>
          <cell r="B67" t="str">
            <v>Cần Thơ</v>
          </cell>
          <cell r="C67">
            <v>89.8</v>
          </cell>
          <cell r="D67">
            <v>96.7</v>
          </cell>
          <cell r="E67">
            <v>95.2</v>
          </cell>
          <cell r="F67">
            <v>39.6</v>
          </cell>
        </row>
        <row r="68">
          <cell r="A68">
            <v>93</v>
          </cell>
          <cell r="B68" t="str">
            <v>Hậu Giang</v>
          </cell>
          <cell r="C68">
            <v>94.8</v>
          </cell>
          <cell r="D68">
            <v>95.2</v>
          </cell>
          <cell r="E68">
            <v>95.8</v>
          </cell>
          <cell r="F68">
            <v>46.5</v>
          </cell>
        </row>
        <row r="69">
          <cell r="A69">
            <v>94</v>
          </cell>
          <cell r="B69" t="str">
            <v>Sóc Trăng</v>
          </cell>
          <cell r="C69">
            <v>92.8</v>
          </cell>
          <cell r="D69">
            <v>97.2</v>
          </cell>
          <cell r="E69">
            <v>98</v>
          </cell>
          <cell r="F69">
            <v>47</v>
          </cell>
        </row>
        <row r="70">
          <cell r="A70">
            <v>95</v>
          </cell>
          <cell r="B70" t="str">
            <v>Bạc Liêu</v>
          </cell>
          <cell r="C70">
            <v>93.2</v>
          </cell>
          <cell r="D70">
            <v>90.3</v>
          </cell>
          <cell r="E70">
            <v>96.9</v>
          </cell>
          <cell r="F70">
            <v>50.1</v>
          </cell>
        </row>
        <row r="71">
          <cell r="A71">
            <v>96</v>
          </cell>
          <cell r="B71" t="str">
            <v>Cà Mau</v>
          </cell>
          <cell r="C71">
            <v>90.6</v>
          </cell>
          <cell r="D71">
            <v>90.3</v>
          </cell>
          <cell r="E71">
            <v>95.4</v>
          </cell>
          <cell r="F71">
            <v>47.1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99.8</v>
          </cell>
          <cell r="D9">
            <v>98.6</v>
          </cell>
          <cell r="E9">
            <v>85.5</v>
          </cell>
          <cell r="F9">
            <v>93.9</v>
          </cell>
          <cell r="G9">
            <v>96.4</v>
          </cell>
          <cell r="H9">
            <v>95.9</v>
          </cell>
        </row>
        <row r="10">
          <cell r="A10" t="str">
            <v>02</v>
          </cell>
          <cell r="B10" t="str">
            <v>Hà Giang</v>
          </cell>
          <cell r="C10">
            <v>96.2</v>
          </cell>
          <cell r="D10">
            <v>95</v>
          </cell>
          <cell r="E10">
            <v>94.1</v>
          </cell>
          <cell r="F10">
            <v>78.400000000000006</v>
          </cell>
          <cell r="G10">
            <v>95.6</v>
          </cell>
          <cell r="H10">
            <v>96.6</v>
          </cell>
        </row>
        <row r="11">
          <cell r="A11" t="str">
            <v>04</v>
          </cell>
          <cell r="B11" t="str">
            <v>Cao Bằng</v>
          </cell>
          <cell r="C11">
            <v>94.6</v>
          </cell>
          <cell r="D11">
            <v>90.2</v>
          </cell>
          <cell r="E11">
            <v>89.6</v>
          </cell>
          <cell r="F11">
            <v>85.7</v>
          </cell>
          <cell r="G11">
            <v>92.3</v>
          </cell>
          <cell r="H11">
            <v>94.5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</row>
        <row r="13">
          <cell r="A13">
            <v>8</v>
          </cell>
          <cell r="B13" t="str">
            <v>Tuyên Quang</v>
          </cell>
          <cell r="C13"/>
          <cell r="D13"/>
          <cell r="E13"/>
          <cell r="F13"/>
          <cell r="G13"/>
          <cell r="H13"/>
        </row>
        <row r="14">
          <cell r="A14">
            <v>10</v>
          </cell>
          <cell r="B14" t="str">
            <v>Lào Cai</v>
          </cell>
          <cell r="C14">
            <v>98</v>
          </cell>
          <cell r="D14">
            <v>98.3</v>
          </cell>
          <cell r="E14">
            <v>96.5</v>
          </cell>
          <cell r="F14">
            <v>96.7</v>
          </cell>
          <cell r="G14">
            <v>97.5</v>
          </cell>
          <cell r="H14">
            <v>96.9</v>
          </cell>
        </row>
        <row r="15">
          <cell r="A15">
            <v>11</v>
          </cell>
          <cell r="B15" t="str">
            <v>Điện Biên</v>
          </cell>
          <cell r="C15">
            <v>93.7</v>
          </cell>
          <cell r="D15">
            <v>93.2</v>
          </cell>
          <cell r="E15">
            <v>92.3</v>
          </cell>
          <cell r="F15">
            <v>93.1</v>
          </cell>
          <cell r="G15">
            <v>93.5</v>
          </cell>
          <cell r="H15">
            <v>91.8</v>
          </cell>
        </row>
        <row r="16">
          <cell r="A16">
            <v>12</v>
          </cell>
          <cell r="B16" t="str">
            <v>Lai Châu</v>
          </cell>
          <cell r="C16">
            <v>93.6</v>
          </cell>
          <cell r="D16">
            <v>93.8</v>
          </cell>
          <cell r="E16">
            <v>91.8</v>
          </cell>
          <cell r="F16">
            <v>94.2</v>
          </cell>
          <cell r="G16">
            <v>94.2</v>
          </cell>
          <cell r="H16">
            <v>94.3</v>
          </cell>
        </row>
        <row r="17">
          <cell r="A17">
            <v>14</v>
          </cell>
          <cell r="B17" t="str">
            <v>Sơn La</v>
          </cell>
          <cell r="C17">
            <v>96.2</v>
          </cell>
          <cell r="D17">
            <v>96.6</v>
          </cell>
          <cell r="E17">
            <v>94.4</v>
          </cell>
          <cell r="F17">
            <v>93.4</v>
          </cell>
          <cell r="G17">
            <v>99.6</v>
          </cell>
          <cell r="H17">
            <v>97.7</v>
          </cell>
        </row>
        <row r="18">
          <cell r="A18">
            <v>15</v>
          </cell>
          <cell r="B18" t="str">
            <v>Yên Bái</v>
          </cell>
          <cell r="C18">
            <v>98.3</v>
          </cell>
          <cell r="D18">
            <v>99.4</v>
          </cell>
          <cell r="E18">
            <v>96.9</v>
          </cell>
          <cell r="F18">
            <v>97.8</v>
          </cell>
          <cell r="G18">
            <v>97.1</v>
          </cell>
          <cell r="H18">
            <v>97.8</v>
          </cell>
        </row>
        <row r="19">
          <cell r="A19">
            <v>17</v>
          </cell>
          <cell r="B19" t="str">
            <v>Hoà Bình</v>
          </cell>
          <cell r="C19">
            <v>97.6</v>
          </cell>
          <cell r="D19">
            <v>97.2</v>
          </cell>
          <cell r="E19">
            <v>96.7</v>
          </cell>
          <cell r="F19">
            <v>97.2</v>
          </cell>
          <cell r="G19">
            <v>97.8</v>
          </cell>
          <cell r="H19">
            <v>97.3</v>
          </cell>
        </row>
        <row r="20">
          <cell r="A20">
            <v>19</v>
          </cell>
          <cell r="B20" t="str">
            <v>Thái Nguyên</v>
          </cell>
          <cell r="C20">
            <v>98.2</v>
          </cell>
          <cell r="D20">
            <v>97.1</v>
          </cell>
          <cell r="E20">
            <v>97.4</v>
          </cell>
          <cell r="F20">
            <v>96.6</v>
          </cell>
          <cell r="G20">
            <v>97.5</v>
          </cell>
          <cell r="H20">
            <v>97.3</v>
          </cell>
        </row>
        <row r="21">
          <cell r="A21">
            <v>20</v>
          </cell>
          <cell r="B21" t="str">
            <v>Lạng Sơn</v>
          </cell>
          <cell r="C21">
            <v>97.8</v>
          </cell>
          <cell r="D21">
            <v>93.2</v>
          </cell>
          <cell r="E21">
            <v>97.6</v>
          </cell>
          <cell r="F21">
            <v>94.8</v>
          </cell>
          <cell r="G21">
            <v>96</v>
          </cell>
          <cell r="H21">
            <v>96.1</v>
          </cell>
        </row>
        <row r="22">
          <cell r="A22">
            <v>22</v>
          </cell>
          <cell r="B22" t="str">
            <v>Quảng Ninh</v>
          </cell>
          <cell r="C22">
            <v>98.1</v>
          </cell>
          <cell r="D22">
            <v>97.8</v>
          </cell>
          <cell r="E22">
            <v>97</v>
          </cell>
          <cell r="F22">
            <v>94.1</v>
          </cell>
          <cell r="G22">
            <v>96.2</v>
          </cell>
          <cell r="H22">
            <v>95.3</v>
          </cell>
        </row>
        <row r="23">
          <cell r="A23">
            <v>24</v>
          </cell>
          <cell r="B23" t="str">
            <v>Bắc Giang</v>
          </cell>
          <cell r="C23">
            <v>99.5</v>
          </cell>
          <cell r="D23">
            <v>97.8</v>
          </cell>
          <cell r="E23">
            <v>98.7</v>
          </cell>
          <cell r="F23">
            <v>97.1</v>
          </cell>
          <cell r="G23">
            <v>98.4</v>
          </cell>
          <cell r="H23">
            <v>96.2</v>
          </cell>
        </row>
        <row r="24">
          <cell r="A24">
            <v>25</v>
          </cell>
          <cell r="B24" t="str">
            <v>Phú Thọ</v>
          </cell>
          <cell r="C24">
            <v>99.6</v>
          </cell>
          <cell r="D24">
            <v>99.5</v>
          </cell>
          <cell r="E24">
            <v>98.9</v>
          </cell>
          <cell r="F24">
            <v>99.6</v>
          </cell>
          <cell r="G24">
            <v>99.6</v>
          </cell>
          <cell r="H24">
            <v>99.5</v>
          </cell>
        </row>
        <row r="25">
          <cell r="A25">
            <v>26</v>
          </cell>
          <cell r="B25" t="str">
            <v>Vĩnh Phúc</v>
          </cell>
          <cell r="C25">
            <v>98.7</v>
          </cell>
          <cell r="D25">
            <v>98.7</v>
          </cell>
          <cell r="E25">
            <v>98.9</v>
          </cell>
          <cell r="F25">
            <v>98.7</v>
          </cell>
          <cell r="G25">
            <v>98.9</v>
          </cell>
          <cell r="H25">
            <v>98.7</v>
          </cell>
        </row>
        <row r="26">
          <cell r="A26">
            <v>27</v>
          </cell>
          <cell r="B26" t="str">
            <v>Bắc Ninh</v>
          </cell>
          <cell r="C26">
            <v>99.1</v>
          </cell>
          <cell r="D26">
            <v>98.8</v>
          </cell>
          <cell r="E26">
            <v>98.5</v>
          </cell>
          <cell r="F26">
            <v>98.4</v>
          </cell>
          <cell r="G26">
            <v>98.7</v>
          </cell>
          <cell r="H26">
            <v>98.3</v>
          </cell>
        </row>
        <row r="27">
          <cell r="A27">
            <v>30</v>
          </cell>
          <cell r="B27" t="str">
            <v>Hải Dương</v>
          </cell>
          <cell r="C27">
            <v>99</v>
          </cell>
          <cell r="D27">
            <v>98.7</v>
          </cell>
          <cell r="E27">
            <v>86.8</v>
          </cell>
          <cell r="F27">
            <v>98.4</v>
          </cell>
          <cell r="G27">
            <v>91.1</v>
          </cell>
          <cell r="H27">
            <v>95.7</v>
          </cell>
        </row>
        <row r="28">
          <cell r="A28">
            <v>31</v>
          </cell>
          <cell r="B28" t="str">
            <v>Hải Phòng</v>
          </cell>
          <cell r="C28">
            <v>97.1</v>
          </cell>
          <cell r="D28">
            <v>97</v>
          </cell>
          <cell r="E28">
            <v>96.7</v>
          </cell>
          <cell r="F28">
            <v>95.3</v>
          </cell>
          <cell r="G28">
            <v>97.7</v>
          </cell>
          <cell r="H28">
            <v>96</v>
          </cell>
        </row>
        <row r="29">
          <cell r="A29">
            <v>33</v>
          </cell>
          <cell r="B29" t="str">
            <v>Hưng Yên</v>
          </cell>
          <cell r="C29">
            <v>97.1</v>
          </cell>
          <cell r="D29">
            <v>95.8</v>
          </cell>
          <cell r="E29">
            <v>97.4</v>
          </cell>
          <cell r="F29">
            <v>96.5</v>
          </cell>
          <cell r="G29">
            <v>96.4</v>
          </cell>
          <cell r="H29">
            <v>96.8</v>
          </cell>
        </row>
        <row r="30">
          <cell r="A30">
            <v>34</v>
          </cell>
          <cell r="B30" t="str">
            <v>Thái Bình</v>
          </cell>
          <cell r="C30">
            <v>99.7</v>
          </cell>
          <cell r="D30">
            <v>99.3</v>
          </cell>
          <cell r="E30">
            <v>98.1</v>
          </cell>
          <cell r="F30">
            <v>97.8</v>
          </cell>
          <cell r="G30">
            <v>98.4</v>
          </cell>
          <cell r="H30">
            <v>97.2</v>
          </cell>
        </row>
        <row r="31">
          <cell r="A31">
            <v>35</v>
          </cell>
          <cell r="B31" t="str">
            <v>Hà Nam</v>
          </cell>
          <cell r="C31">
            <v>99.3</v>
          </cell>
          <cell r="D31">
            <v>99.2</v>
          </cell>
          <cell r="E31">
            <v>99</v>
          </cell>
          <cell r="F31">
            <v>99.1</v>
          </cell>
          <cell r="G31">
            <v>95.4</v>
          </cell>
          <cell r="H31">
            <v>95</v>
          </cell>
        </row>
        <row r="32">
          <cell r="A32">
            <v>36</v>
          </cell>
          <cell r="B32" t="str">
            <v>Nam Định</v>
          </cell>
          <cell r="C32">
            <v>98.2</v>
          </cell>
          <cell r="D32">
            <v>95</v>
          </cell>
          <cell r="E32">
            <v>95.4</v>
          </cell>
          <cell r="F32">
            <v>95.6</v>
          </cell>
          <cell r="G32">
            <v>97.3</v>
          </cell>
          <cell r="H32">
            <v>92.2</v>
          </cell>
        </row>
        <row r="33">
          <cell r="A33">
            <v>37</v>
          </cell>
          <cell r="B33" t="str">
            <v>Ninh Bình</v>
          </cell>
          <cell r="C33">
            <v>98.8</v>
          </cell>
          <cell r="D33">
            <v>96.3</v>
          </cell>
          <cell r="E33">
            <v>97.8</v>
          </cell>
          <cell r="F33">
            <v>97.5</v>
          </cell>
          <cell r="G33">
            <v>97.1</v>
          </cell>
          <cell r="H33">
            <v>96.8</v>
          </cell>
        </row>
        <row r="34">
          <cell r="A34">
            <v>38</v>
          </cell>
          <cell r="B34" t="str">
            <v>Thanh Hoá</v>
          </cell>
          <cell r="C34">
            <v>99.5</v>
          </cell>
          <cell r="D34">
            <v>95.8</v>
          </cell>
          <cell r="E34">
            <v>96.3</v>
          </cell>
          <cell r="F34">
            <v>89.3</v>
          </cell>
          <cell r="G34">
            <v>96</v>
          </cell>
          <cell r="H34">
            <v>94.7</v>
          </cell>
        </row>
        <row r="35">
          <cell r="A35">
            <v>40</v>
          </cell>
          <cell r="B35" t="str">
            <v>Nghệ An</v>
          </cell>
          <cell r="C35">
            <v>97</v>
          </cell>
          <cell r="D35">
            <v>97.3</v>
          </cell>
          <cell r="E35">
            <v>99.1</v>
          </cell>
          <cell r="F35">
            <v>91.6</v>
          </cell>
          <cell r="G35">
            <v>97.4</v>
          </cell>
          <cell r="H35">
            <v>95.4</v>
          </cell>
        </row>
        <row r="36">
          <cell r="A36">
            <v>42</v>
          </cell>
          <cell r="B36" t="str">
            <v>Hà Tĩnh</v>
          </cell>
          <cell r="C36">
            <v>99</v>
          </cell>
          <cell r="D36">
            <v>98.5</v>
          </cell>
          <cell r="E36">
            <v>95.5</v>
          </cell>
          <cell r="F36">
            <v>88.9</v>
          </cell>
          <cell r="G36">
            <v>96.5</v>
          </cell>
          <cell r="H36">
            <v>87.9</v>
          </cell>
        </row>
        <row r="37">
          <cell r="A37">
            <v>44</v>
          </cell>
          <cell r="B37" t="str">
            <v>Quảng Bình</v>
          </cell>
          <cell r="C37">
            <v>100</v>
          </cell>
          <cell r="D37">
            <v>93.7</v>
          </cell>
          <cell r="E37">
            <v>94</v>
          </cell>
          <cell r="F37">
            <v>97.4</v>
          </cell>
          <cell r="G37">
            <v>96.4</v>
          </cell>
          <cell r="H37">
            <v>92.1</v>
          </cell>
        </row>
        <row r="38">
          <cell r="A38">
            <v>45</v>
          </cell>
          <cell r="B38" t="str">
            <v>Quảng Trị</v>
          </cell>
          <cell r="C38">
            <v>98.4</v>
          </cell>
          <cell r="D38">
            <v>98.4</v>
          </cell>
          <cell r="E38">
            <v>98.1</v>
          </cell>
          <cell r="F38">
            <v>98.2</v>
          </cell>
          <cell r="G38">
            <v>98.7</v>
          </cell>
          <cell r="H38">
            <v>98.7</v>
          </cell>
        </row>
        <row r="39">
          <cell r="A39">
            <v>46</v>
          </cell>
          <cell r="B39" t="str">
            <v>Thừa Thiên Huế</v>
          </cell>
          <cell r="C39">
            <v>98.8</v>
          </cell>
          <cell r="D39">
            <v>97.6</v>
          </cell>
          <cell r="E39">
            <v>99.5</v>
          </cell>
          <cell r="F39">
            <v>99</v>
          </cell>
          <cell r="G39">
            <v>98.3</v>
          </cell>
          <cell r="H39">
            <v>97.3</v>
          </cell>
        </row>
        <row r="40">
          <cell r="A40">
            <v>48</v>
          </cell>
          <cell r="B40" t="str">
            <v>Đà Nẵng</v>
          </cell>
          <cell r="C40">
            <v>98.9</v>
          </cell>
          <cell r="D40">
            <v>99.1</v>
          </cell>
          <cell r="E40">
            <v>98.4</v>
          </cell>
          <cell r="F40">
            <v>95.3</v>
          </cell>
          <cell r="G40">
            <v>97</v>
          </cell>
          <cell r="H40">
            <v>90.2</v>
          </cell>
        </row>
        <row r="41">
          <cell r="A41">
            <v>49</v>
          </cell>
          <cell r="B41" t="str">
            <v>Quảng Nam</v>
          </cell>
          <cell r="C41">
            <v>97.5</v>
          </cell>
          <cell r="D41">
            <v>95</v>
          </cell>
          <cell r="E41">
            <v>93.3</v>
          </cell>
          <cell r="F41">
            <v>93.1</v>
          </cell>
          <cell r="G41">
            <v>95.1</v>
          </cell>
          <cell r="H41">
            <v>92.7</v>
          </cell>
        </row>
        <row r="42">
          <cell r="A42">
            <v>51</v>
          </cell>
          <cell r="B42" t="str">
            <v>Quảng Ngãi</v>
          </cell>
          <cell r="C42">
            <v>99.1</v>
          </cell>
          <cell r="D42">
            <v>98.9</v>
          </cell>
          <cell r="E42">
            <v>99.1</v>
          </cell>
          <cell r="F42">
            <v>96.3</v>
          </cell>
          <cell r="G42">
            <v>97.2</v>
          </cell>
          <cell r="H42">
            <v>95</v>
          </cell>
        </row>
        <row r="43">
          <cell r="A43">
            <v>52</v>
          </cell>
          <cell r="B43" t="str">
            <v>Bình Định</v>
          </cell>
          <cell r="C43">
            <v>99.6</v>
          </cell>
          <cell r="D43">
            <v>99.1</v>
          </cell>
          <cell r="E43">
            <v>99.5</v>
          </cell>
          <cell r="F43">
            <v>99</v>
          </cell>
          <cell r="G43">
            <v>99.2</v>
          </cell>
          <cell r="H43">
            <v>97.9</v>
          </cell>
        </row>
        <row r="44">
          <cell r="A44">
            <v>54</v>
          </cell>
          <cell r="B44" t="str">
            <v>Phú Yên</v>
          </cell>
          <cell r="C44">
            <v>98.1</v>
          </cell>
          <cell r="D44">
            <v>97.8</v>
          </cell>
          <cell r="E44">
            <v>97.3</v>
          </cell>
          <cell r="F44">
            <v>97</v>
          </cell>
          <cell r="G44">
            <v>97.6</v>
          </cell>
          <cell r="H44">
            <v>90.2</v>
          </cell>
        </row>
        <row r="45">
          <cell r="A45">
            <v>56</v>
          </cell>
          <cell r="B45" t="str">
            <v>Khánh Hoà</v>
          </cell>
          <cell r="C45">
            <v>98.4</v>
          </cell>
          <cell r="D45">
            <v>98.1</v>
          </cell>
          <cell r="E45">
            <v>97.5</v>
          </cell>
          <cell r="F45">
            <v>97</v>
          </cell>
          <cell r="G45">
            <v>97.5</v>
          </cell>
          <cell r="H45">
            <v>97.3</v>
          </cell>
        </row>
        <row r="46">
          <cell r="A46">
            <v>58</v>
          </cell>
          <cell r="B46" t="str">
            <v>Ninh Thuận</v>
          </cell>
          <cell r="C46">
            <v>98.2</v>
          </cell>
          <cell r="D46">
            <v>97.4</v>
          </cell>
          <cell r="E46">
            <v>97.3</v>
          </cell>
          <cell r="F46">
            <v>97.5</v>
          </cell>
          <cell r="G46">
            <v>98.8</v>
          </cell>
          <cell r="H46">
            <v>96.5</v>
          </cell>
        </row>
        <row r="47">
          <cell r="A47">
            <v>60</v>
          </cell>
          <cell r="B47" t="str">
            <v>Bình Thuận</v>
          </cell>
          <cell r="C47">
            <v>97.6</v>
          </cell>
          <cell r="D47">
            <v>97.3</v>
          </cell>
          <cell r="E47">
            <v>96.7</v>
          </cell>
          <cell r="F47">
            <v>97.1</v>
          </cell>
          <cell r="G47">
            <v>97.6</v>
          </cell>
          <cell r="H47">
            <v>87.3</v>
          </cell>
        </row>
        <row r="48">
          <cell r="A48">
            <v>62</v>
          </cell>
          <cell r="B48" t="str">
            <v>Kon Tum</v>
          </cell>
          <cell r="C48">
            <v>97.2</v>
          </cell>
          <cell r="D48">
            <v>97.6</v>
          </cell>
          <cell r="E48">
            <v>93</v>
          </cell>
          <cell r="F48">
            <v>97.6</v>
          </cell>
          <cell r="G48">
            <v>97.6</v>
          </cell>
          <cell r="H48">
            <v>97.3</v>
          </cell>
        </row>
        <row r="49">
          <cell r="A49">
            <v>64</v>
          </cell>
          <cell r="B49" t="str">
            <v>Gia Lai</v>
          </cell>
          <cell r="C49">
            <v>96.5</v>
          </cell>
          <cell r="D49">
            <v>97</v>
          </cell>
          <cell r="E49">
            <v>92.8</v>
          </cell>
          <cell r="F49">
            <v>93.2</v>
          </cell>
          <cell r="G49">
            <v>95.3</v>
          </cell>
          <cell r="H49">
            <v>79.599999999999994</v>
          </cell>
        </row>
        <row r="50">
          <cell r="A50">
            <v>66</v>
          </cell>
          <cell r="B50" t="str">
            <v>Đắk Lắk</v>
          </cell>
          <cell r="C50">
            <v>96.1</v>
          </cell>
          <cell r="D50">
            <v>92.6</v>
          </cell>
          <cell r="E50">
            <v>91</v>
          </cell>
          <cell r="F50">
            <v>89.3</v>
          </cell>
          <cell r="G50">
            <v>95</v>
          </cell>
          <cell r="H50">
            <v>88.4</v>
          </cell>
        </row>
        <row r="51">
          <cell r="A51">
            <v>67</v>
          </cell>
          <cell r="B51" t="str">
            <v>Đắk Nông</v>
          </cell>
          <cell r="C51">
            <v>95.2</v>
          </cell>
          <cell r="D51">
            <v>95.1</v>
          </cell>
          <cell r="E51">
            <v>94.9</v>
          </cell>
          <cell r="F51">
            <v>93.4</v>
          </cell>
          <cell r="G51">
            <v>95.4</v>
          </cell>
          <cell r="H51">
            <v>93.2</v>
          </cell>
        </row>
        <row r="52">
          <cell r="A52">
            <v>68</v>
          </cell>
          <cell r="B52" t="str">
            <v>Lâm Đồng</v>
          </cell>
          <cell r="C52">
            <v>97.7</v>
          </cell>
          <cell r="D52">
            <v>97.7</v>
          </cell>
          <cell r="E52">
            <v>96.3</v>
          </cell>
          <cell r="F52">
            <v>97.4</v>
          </cell>
          <cell r="G52">
            <v>98.2</v>
          </cell>
          <cell r="H52">
            <v>97.1</v>
          </cell>
        </row>
        <row r="53">
          <cell r="A53">
            <v>70</v>
          </cell>
          <cell r="B53" t="str">
            <v>Bình Phước</v>
          </cell>
          <cell r="C53">
            <v>99</v>
          </cell>
          <cell r="D53">
            <v>88.5</v>
          </cell>
          <cell r="E53">
            <v>88.9</v>
          </cell>
          <cell r="F53">
            <v>78</v>
          </cell>
          <cell r="G53">
            <v>93.2</v>
          </cell>
          <cell r="H53">
            <v>80.2</v>
          </cell>
        </row>
        <row r="54">
          <cell r="A54">
            <v>72</v>
          </cell>
          <cell r="B54" t="str">
            <v>Tây Ninh</v>
          </cell>
          <cell r="C54">
            <v>98.2</v>
          </cell>
          <cell r="D54">
            <v>97.5</v>
          </cell>
          <cell r="E54">
            <v>96.5</v>
          </cell>
          <cell r="F54">
            <v>92.8</v>
          </cell>
          <cell r="G54">
            <v>98.1</v>
          </cell>
          <cell r="H54">
            <v>89.6</v>
          </cell>
        </row>
        <row r="55">
          <cell r="A55">
            <v>74</v>
          </cell>
          <cell r="B55" t="str">
            <v>Bình Dương</v>
          </cell>
          <cell r="C55">
            <v>99.5</v>
          </cell>
          <cell r="D55">
            <v>96.8</v>
          </cell>
          <cell r="E55">
            <v>96.1</v>
          </cell>
          <cell r="F55">
            <v>92.3</v>
          </cell>
          <cell r="G55">
            <v>95.5</v>
          </cell>
          <cell r="H55">
            <v>54</v>
          </cell>
        </row>
        <row r="56">
          <cell r="A56">
            <v>75</v>
          </cell>
          <cell r="B56" t="str">
            <v>Đồng Nai</v>
          </cell>
          <cell r="C56">
            <v>98.4</v>
          </cell>
          <cell r="D56">
            <v>95.9</v>
          </cell>
          <cell r="E56">
            <v>96.6</v>
          </cell>
          <cell r="F56">
            <v>89.6</v>
          </cell>
          <cell r="G56">
            <v>97.3</v>
          </cell>
          <cell r="H56">
            <v>52.8</v>
          </cell>
        </row>
        <row r="57">
          <cell r="A57">
            <v>77</v>
          </cell>
          <cell r="B57" t="str">
            <v>Bà Rịa-Vũng Tàu(***)</v>
          </cell>
          <cell r="C57">
            <v>96.5</v>
          </cell>
          <cell r="D57">
            <v>91</v>
          </cell>
          <cell r="E57">
            <v>97.3</v>
          </cell>
          <cell r="F57">
            <v>89.6</v>
          </cell>
          <cell r="G57">
            <v>97.9</v>
          </cell>
          <cell r="H57">
            <v>76.2</v>
          </cell>
        </row>
        <row r="58">
          <cell r="A58">
            <v>79</v>
          </cell>
          <cell r="B58" t="str">
            <v>TP Hồ Chí Minh</v>
          </cell>
          <cell r="C58">
            <v>94.7</v>
          </cell>
          <cell r="D58">
            <v>98.3</v>
          </cell>
          <cell r="E58">
            <v>95.6</v>
          </cell>
          <cell r="F58">
            <v>95.3</v>
          </cell>
          <cell r="G58">
            <v>96.7</v>
          </cell>
          <cell r="H58">
            <v>66.7</v>
          </cell>
        </row>
        <row r="59">
          <cell r="A59">
            <v>80</v>
          </cell>
          <cell r="B59" t="str">
            <v>Long An</v>
          </cell>
          <cell r="C59">
            <v>99</v>
          </cell>
          <cell r="D59">
            <v>97.1</v>
          </cell>
          <cell r="E59">
            <v>93.2</v>
          </cell>
          <cell r="F59">
            <v>95.3</v>
          </cell>
          <cell r="G59">
            <v>96.6</v>
          </cell>
          <cell r="H59">
            <v>88.7</v>
          </cell>
        </row>
        <row r="60">
          <cell r="A60">
            <v>82</v>
          </cell>
          <cell r="B60" t="str">
            <v>Tiền Giang</v>
          </cell>
          <cell r="C60">
            <v>99.4</v>
          </cell>
          <cell r="D60">
            <v>96.6</v>
          </cell>
          <cell r="E60">
            <v>98.7</v>
          </cell>
          <cell r="F60">
            <v>98.7</v>
          </cell>
          <cell r="G60">
            <v>99.3</v>
          </cell>
          <cell r="H60">
            <v>83.1</v>
          </cell>
        </row>
        <row r="61">
          <cell r="A61">
            <v>83</v>
          </cell>
          <cell r="B61" t="str">
            <v>Bến Tre</v>
          </cell>
          <cell r="C61">
            <v>97.1</v>
          </cell>
          <cell r="D61">
            <v>95.7</v>
          </cell>
          <cell r="E61">
            <v>95.1</v>
          </cell>
          <cell r="F61">
            <v>96.7</v>
          </cell>
          <cell r="G61">
            <v>95.6</v>
          </cell>
          <cell r="H61">
            <v>92.3</v>
          </cell>
        </row>
        <row r="62">
          <cell r="A62">
            <v>84</v>
          </cell>
          <cell r="B62" t="str">
            <v>Trà Vinh</v>
          </cell>
          <cell r="C62">
            <v>99.7</v>
          </cell>
          <cell r="D62">
            <v>97.3</v>
          </cell>
          <cell r="E62">
            <v>92.8</v>
          </cell>
          <cell r="F62">
            <v>95.5</v>
          </cell>
          <cell r="G62">
            <v>95.8</v>
          </cell>
          <cell r="H62">
            <v>77.5</v>
          </cell>
        </row>
        <row r="63">
          <cell r="A63">
            <v>86</v>
          </cell>
          <cell r="B63" t="str">
            <v>Vĩnh Long</v>
          </cell>
          <cell r="C63">
            <v>96.5</v>
          </cell>
          <cell r="D63">
            <v>97.8</v>
          </cell>
          <cell r="E63">
            <v>99.1</v>
          </cell>
          <cell r="F63">
            <v>98.6</v>
          </cell>
          <cell r="G63">
            <v>99.5</v>
          </cell>
          <cell r="H63">
            <v>97.9</v>
          </cell>
        </row>
        <row r="64">
          <cell r="A64">
            <v>87</v>
          </cell>
          <cell r="B64" t="str">
            <v>Đồng Tháp</v>
          </cell>
          <cell r="C64">
            <v>98.1</v>
          </cell>
          <cell r="D64">
            <v>96.6</v>
          </cell>
          <cell r="E64">
            <v>93.3</v>
          </cell>
          <cell r="F64">
            <v>96.8</v>
          </cell>
          <cell r="G64">
            <v>98.6</v>
          </cell>
          <cell r="H64">
            <v>57.7</v>
          </cell>
        </row>
        <row r="65">
          <cell r="A65">
            <v>89</v>
          </cell>
          <cell r="B65" t="str">
            <v>An Giang</v>
          </cell>
          <cell r="C65">
            <v>97.7</v>
          </cell>
          <cell r="D65">
            <v>90.6</v>
          </cell>
          <cell r="E65">
            <v>93.1</v>
          </cell>
          <cell r="F65">
            <v>86.2</v>
          </cell>
          <cell r="G65">
            <v>95.7</v>
          </cell>
          <cell r="H65">
            <v>71.8</v>
          </cell>
        </row>
        <row r="66">
          <cell r="A66">
            <v>91</v>
          </cell>
          <cell r="B66" t="str">
            <v>Kiên Giang</v>
          </cell>
          <cell r="C66">
            <v>99.1</v>
          </cell>
          <cell r="D66">
            <v>95</v>
          </cell>
          <cell r="E66">
            <v>86.4</v>
          </cell>
          <cell r="F66">
            <v>94.7</v>
          </cell>
          <cell r="G66">
            <v>96</v>
          </cell>
          <cell r="H66">
            <v>75.599999999999994</v>
          </cell>
        </row>
        <row r="67">
          <cell r="A67">
            <v>92</v>
          </cell>
          <cell r="B67" t="str">
            <v>Cần Thơ</v>
          </cell>
          <cell r="C67">
            <v>98.7</v>
          </cell>
          <cell r="D67">
            <v>96.8</v>
          </cell>
          <cell r="E67">
            <v>96.7</v>
          </cell>
          <cell r="F67">
            <v>97.9</v>
          </cell>
          <cell r="G67">
            <v>98.4</v>
          </cell>
          <cell r="H67">
            <v>72.8</v>
          </cell>
        </row>
        <row r="68">
          <cell r="A68">
            <v>93</v>
          </cell>
          <cell r="B68" t="str">
            <v>Hậu Giang</v>
          </cell>
          <cell r="C68">
            <v>98.4</v>
          </cell>
          <cell r="D68">
            <v>98.1</v>
          </cell>
          <cell r="E68">
            <v>98.5</v>
          </cell>
          <cell r="F68">
            <v>97.3</v>
          </cell>
          <cell r="G68">
            <v>99.2</v>
          </cell>
          <cell r="H68">
            <v>97.7</v>
          </cell>
        </row>
        <row r="69">
          <cell r="A69">
            <v>94</v>
          </cell>
          <cell r="B69" t="str">
            <v>Sóc Trăng</v>
          </cell>
          <cell r="C69">
            <v>98.1</v>
          </cell>
          <cell r="D69">
            <v>97.6</v>
          </cell>
          <cell r="E69">
            <v>92.8</v>
          </cell>
          <cell r="F69">
            <v>90.9</v>
          </cell>
          <cell r="G69">
            <v>95.7</v>
          </cell>
          <cell r="H69">
            <v>72.2</v>
          </cell>
        </row>
        <row r="70">
          <cell r="A70">
            <v>95</v>
          </cell>
          <cell r="B70" t="str">
            <v>Bạc Liêu</v>
          </cell>
          <cell r="C70">
            <v>97</v>
          </cell>
          <cell r="D70">
            <v>96.8</v>
          </cell>
          <cell r="E70">
            <v>96</v>
          </cell>
          <cell r="F70">
            <v>90.9</v>
          </cell>
          <cell r="G70">
            <v>97.1</v>
          </cell>
          <cell r="H70">
            <v>68.599999999999994</v>
          </cell>
        </row>
        <row r="71">
          <cell r="A71">
            <v>96</v>
          </cell>
          <cell r="B71" t="str">
            <v>Cà Mau</v>
          </cell>
          <cell r="C71">
            <v>98.9</v>
          </cell>
          <cell r="D71">
            <v>96.9</v>
          </cell>
          <cell r="E71">
            <v>94.8</v>
          </cell>
          <cell r="F71">
            <v>93</v>
          </cell>
          <cell r="G71">
            <v>96.6</v>
          </cell>
          <cell r="H71">
            <v>76.7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10</v>
          </cell>
          <cell r="D9">
            <v>9.8000000000000007</v>
          </cell>
          <cell r="E9">
            <v>9.8000000000000007</v>
          </cell>
          <cell r="F9">
            <v>9.6</v>
          </cell>
          <cell r="G9">
            <v>9.1</v>
          </cell>
          <cell r="H9">
            <v>9.1999999999999993</v>
          </cell>
          <cell r="I9">
            <v>8.5</v>
          </cell>
          <cell r="J9">
            <v>8.3000000000000007</v>
          </cell>
        </row>
        <row r="10">
          <cell r="A10" t="str">
            <v>02</v>
          </cell>
          <cell r="B10" t="str">
            <v>Hà Giang</v>
          </cell>
          <cell r="C10">
            <v>33</v>
          </cell>
          <cell r="D10">
            <v>32.5</v>
          </cell>
          <cell r="E10">
            <v>32.299999999999997</v>
          </cell>
          <cell r="F10">
            <v>31.8</v>
          </cell>
          <cell r="G10">
            <v>29.9</v>
          </cell>
          <cell r="H10">
            <v>28.5</v>
          </cell>
          <cell r="I10">
            <v>11</v>
          </cell>
          <cell r="J10">
            <v>19.8</v>
          </cell>
        </row>
        <row r="11">
          <cell r="A11" t="str">
            <v>04</v>
          </cell>
          <cell r="B11" t="str">
            <v>Cao Bằng</v>
          </cell>
          <cell r="C11">
            <v>23.5</v>
          </cell>
          <cell r="D11">
            <v>23.1</v>
          </cell>
          <cell r="E11">
            <v>23</v>
          </cell>
          <cell r="F11">
            <v>22.6</v>
          </cell>
          <cell r="G11">
            <v>22.7</v>
          </cell>
          <cell r="H11">
            <v>20.100000000000001</v>
          </cell>
          <cell r="I11">
            <v>11.2</v>
          </cell>
          <cell r="J11">
            <v>17.399999999999999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15.5</v>
          </cell>
        </row>
        <row r="14">
          <cell r="A14">
            <v>10</v>
          </cell>
          <cell r="B14" t="str">
            <v>Lào Cai</v>
          </cell>
          <cell r="C14">
            <v>28.2</v>
          </cell>
          <cell r="D14">
            <v>27.8</v>
          </cell>
          <cell r="E14">
            <v>27.7</v>
          </cell>
          <cell r="F14">
            <v>27.2</v>
          </cell>
          <cell r="G14">
            <v>26.8</v>
          </cell>
          <cell r="H14">
            <v>24.6</v>
          </cell>
          <cell r="I14">
            <v>11.3</v>
          </cell>
          <cell r="J14">
            <v>20.2</v>
          </cell>
        </row>
        <row r="15">
          <cell r="A15">
            <v>11</v>
          </cell>
          <cell r="B15" t="str">
            <v>Điện Biên</v>
          </cell>
          <cell r="C15">
            <v>33.200000000000003</v>
          </cell>
          <cell r="D15">
            <v>32.700000000000003</v>
          </cell>
          <cell r="E15">
            <v>32.5</v>
          </cell>
          <cell r="F15">
            <v>31.9</v>
          </cell>
          <cell r="G15">
            <v>29.7</v>
          </cell>
          <cell r="H15">
            <v>29.7</v>
          </cell>
          <cell r="I15">
            <v>11.1</v>
          </cell>
          <cell r="J15">
            <v>24.8</v>
          </cell>
        </row>
        <row r="16">
          <cell r="A16">
            <v>12</v>
          </cell>
          <cell r="B16" t="str">
            <v>Lai Châu</v>
          </cell>
          <cell r="C16">
            <v>41.1</v>
          </cell>
          <cell r="D16">
            <v>40.5</v>
          </cell>
          <cell r="E16">
            <v>40.200000000000003</v>
          </cell>
          <cell r="F16">
            <v>39.6</v>
          </cell>
          <cell r="G16">
            <v>36.200000000000003</v>
          </cell>
          <cell r="H16">
            <v>31.7</v>
          </cell>
          <cell r="I16">
            <v>10</v>
          </cell>
          <cell r="J16">
            <v>25</v>
          </cell>
        </row>
        <row r="17">
          <cell r="A17">
            <v>14</v>
          </cell>
          <cell r="B17" t="str">
            <v>Sơn La</v>
          </cell>
          <cell r="C17">
            <v>22.4</v>
          </cell>
          <cell r="D17">
            <v>22.1</v>
          </cell>
          <cell r="E17">
            <v>22</v>
          </cell>
          <cell r="F17">
            <v>21.6</v>
          </cell>
          <cell r="G17">
            <v>21.4</v>
          </cell>
          <cell r="H17">
            <v>21.5</v>
          </cell>
          <cell r="I17">
            <v>10</v>
          </cell>
          <cell r="J17">
            <v>14.4</v>
          </cell>
        </row>
        <row r="18">
          <cell r="A18">
            <v>15</v>
          </cell>
          <cell r="B18" t="str">
            <v>Yên Bái</v>
          </cell>
          <cell r="C18">
            <v>26.4</v>
          </cell>
          <cell r="D18">
            <v>26.1</v>
          </cell>
          <cell r="E18">
            <v>25.9</v>
          </cell>
          <cell r="F18">
            <v>25.5</v>
          </cell>
          <cell r="G18">
            <v>25.8</v>
          </cell>
          <cell r="H18">
            <v>25.5</v>
          </cell>
          <cell r="I18">
            <v>11</v>
          </cell>
          <cell r="J18">
            <v>19.2</v>
          </cell>
        </row>
        <row r="19">
          <cell r="A19">
            <v>17</v>
          </cell>
          <cell r="B19" t="str">
            <v>Hoà Bình</v>
          </cell>
          <cell r="C19">
            <v>17.100000000000001</v>
          </cell>
          <cell r="D19">
            <v>16.8</v>
          </cell>
          <cell r="E19">
            <v>16.7</v>
          </cell>
          <cell r="F19">
            <v>16.5</v>
          </cell>
          <cell r="G19">
            <v>16.600000000000001</v>
          </cell>
          <cell r="H19">
            <v>16.399999999999999</v>
          </cell>
          <cell r="I19">
            <v>12.1</v>
          </cell>
          <cell r="J19">
            <v>14.6</v>
          </cell>
        </row>
        <row r="20">
          <cell r="A20">
            <v>19</v>
          </cell>
          <cell r="B20" t="str">
            <v>Thái Nguyên</v>
          </cell>
          <cell r="C20">
            <v>14.5</v>
          </cell>
          <cell r="D20">
            <v>14.2</v>
          </cell>
          <cell r="E20">
            <v>14.2</v>
          </cell>
          <cell r="F20">
            <v>13.9</v>
          </cell>
          <cell r="G20">
            <v>13.7</v>
          </cell>
          <cell r="H20">
            <v>13.7</v>
          </cell>
          <cell r="I20">
            <v>20.2</v>
          </cell>
          <cell r="J20">
            <v>11.7</v>
          </cell>
        </row>
        <row r="21">
          <cell r="A21">
            <v>20</v>
          </cell>
          <cell r="B21" t="str">
            <v>Lạng Sơn</v>
          </cell>
          <cell r="C21">
            <v>18</v>
          </cell>
          <cell r="D21">
            <v>17.7</v>
          </cell>
          <cell r="E21">
            <v>17.600000000000001</v>
          </cell>
          <cell r="F21">
            <v>17.3</v>
          </cell>
          <cell r="G21">
            <v>17.100000000000001</v>
          </cell>
          <cell r="H21">
            <v>17</v>
          </cell>
          <cell r="I21">
            <v>18.100000000000001</v>
          </cell>
          <cell r="J21">
            <v>15.4</v>
          </cell>
        </row>
        <row r="22">
          <cell r="A22">
            <v>22</v>
          </cell>
          <cell r="B22" t="str">
            <v>Quảng Ninh</v>
          </cell>
          <cell r="C22">
            <v>14.8</v>
          </cell>
          <cell r="D22">
            <v>14.6</v>
          </cell>
          <cell r="E22">
            <v>14.5</v>
          </cell>
          <cell r="F22">
            <v>14.3</v>
          </cell>
          <cell r="G22">
            <v>14.4</v>
          </cell>
          <cell r="H22">
            <v>14.3</v>
          </cell>
          <cell r="I22">
            <v>16</v>
          </cell>
          <cell r="J22">
            <v>12.8</v>
          </cell>
        </row>
        <row r="23">
          <cell r="A23">
            <v>24</v>
          </cell>
          <cell r="B23" t="str">
            <v>Bắc Giang</v>
          </cell>
          <cell r="C23">
            <v>15</v>
          </cell>
          <cell r="D23">
            <v>14.8</v>
          </cell>
          <cell r="E23">
            <v>14.7</v>
          </cell>
          <cell r="F23">
            <v>14.5</v>
          </cell>
          <cell r="G23">
            <v>14.3</v>
          </cell>
          <cell r="H23">
            <v>14.4</v>
          </cell>
          <cell r="I23">
            <v>15.6</v>
          </cell>
          <cell r="J23">
            <v>12</v>
          </cell>
        </row>
        <row r="24">
          <cell r="A24">
            <v>25</v>
          </cell>
          <cell r="B24" t="str">
            <v>Phú Thọ</v>
          </cell>
          <cell r="C24">
            <v>14.8</v>
          </cell>
          <cell r="D24">
            <v>14.6</v>
          </cell>
          <cell r="E24">
            <v>14.5</v>
          </cell>
          <cell r="F24">
            <v>14.2</v>
          </cell>
          <cell r="G24">
            <v>14.4</v>
          </cell>
          <cell r="H24">
            <v>14.1</v>
          </cell>
          <cell r="I24">
            <v>20.7</v>
          </cell>
          <cell r="J24">
            <v>12.1</v>
          </cell>
        </row>
        <row r="25">
          <cell r="A25">
            <v>26</v>
          </cell>
          <cell r="B25" t="str">
            <v>Vĩnh Phúc</v>
          </cell>
          <cell r="C25">
            <v>12.7</v>
          </cell>
          <cell r="D25">
            <v>12.5</v>
          </cell>
          <cell r="E25">
            <v>12.4</v>
          </cell>
          <cell r="F25">
            <v>12.2</v>
          </cell>
          <cell r="G25">
            <v>12.9</v>
          </cell>
          <cell r="H25">
            <v>12.1</v>
          </cell>
          <cell r="I25">
            <v>21</v>
          </cell>
          <cell r="J25">
            <v>10.9</v>
          </cell>
        </row>
        <row r="26">
          <cell r="A26">
            <v>27</v>
          </cell>
          <cell r="B26" t="str">
            <v>Bắc Ninh</v>
          </cell>
          <cell r="C26">
            <v>12.6</v>
          </cell>
          <cell r="D26">
            <v>12.4</v>
          </cell>
          <cell r="E26">
            <v>12.3</v>
          </cell>
          <cell r="F26">
            <v>12.2</v>
          </cell>
          <cell r="G26">
            <v>12.8</v>
          </cell>
          <cell r="H26">
            <v>12.3</v>
          </cell>
          <cell r="I26">
            <v>12.1</v>
          </cell>
          <cell r="J26">
            <v>10.6</v>
          </cell>
        </row>
        <row r="27">
          <cell r="A27">
            <v>30</v>
          </cell>
          <cell r="B27" t="str">
            <v>Hải Dương</v>
          </cell>
          <cell r="C27">
            <v>11.5</v>
          </cell>
          <cell r="D27">
            <v>11.3</v>
          </cell>
          <cell r="E27">
            <v>11.3</v>
          </cell>
          <cell r="F27">
            <v>11.1</v>
          </cell>
          <cell r="G27">
            <v>11</v>
          </cell>
          <cell r="H27">
            <v>11</v>
          </cell>
          <cell r="I27">
            <v>15.9</v>
          </cell>
          <cell r="J27">
            <v>10.5</v>
          </cell>
        </row>
        <row r="28">
          <cell r="A28">
            <v>31</v>
          </cell>
          <cell r="B28" t="str">
            <v>Hải Phòng</v>
          </cell>
          <cell r="C28">
            <v>11.8</v>
          </cell>
          <cell r="D28">
            <v>11.6</v>
          </cell>
          <cell r="E28">
            <v>11.5</v>
          </cell>
          <cell r="F28">
            <v>11.4</v>
          </cell>
          <cell r="G28">
            <v>11.7</v>
          </cell>
          <cell r="H28">
            <v>11.4</v>
          </cell>
          <cell r="I28">
            <v>12.7</v>
          </cell>
          <cell r="J28">
            <v>10.7</v>
          </cell>
        </row>
        <row r="29">
          <cell r="A29">
            <v>33</v>
          </cell>
          <cell r="B29" t="str">
            <v>Hưng Yên</v>
          </cell>
          <cell r="C29">
            <v>12</v>
          </cell>
          <cell r="D29">
            <v>11.8</v>
          </cell>
          <cell r="E29">
            <v>11.8</v>
          </cell>
          <cell r="F29">
            <v>11.6</v>
          </cell>
          <cell r="G29">
            <v>11.3</v>
          </cell>
          <cell r="H29">
            <v>11.4</v>
          </cell>
          <cell r="I29">
            <v>12.8</v>
          </cell>
          <cell r="J29">
            <v>10.6</v>
          </cell>
        </row>
        <row r="30">
          <cell r="A30">
            <v>34</v>
          </cell>
          <cell r="B30" t="str">
            <v>Thái Bình</v>
          </cell>
          <cell r="C30">
            <v>10.1</v>
          </cell>
          <cell r="D30">
            <v>9.9</v>
          </cell>
          <cell r="E30">
            <v>9.9</v>
          </cell>
          <cell r="F30">
            <v>9.6999999999999993</v>
          </cell>
          <cell r="G30">
            <v>10.8</v>
          </cell>
          <cell r="H30">
            <v>9.6999999999999993</v>
          </cell>
          <cell r="I30">
            <v>25.6</v>
          </cell>
          <cell r="J30">
            <v>9.6999999999999993</v>
          </cell>
        </row>
        <row r="31">
          <cell r="A31">
            <v>35</v>
          </cell>
          <cell r="B31" t="str">
            <v>Hà Nam</v>
          </cell>
          <cell r="C31">
            <v>11.8</v>
          </cell>
          <cell r="D31">
            <v>11.6</v>
          </cell>
          <cell r="E31">
            <v>11.6</v>
          </cell>
          <cell r="F31">
            <v>11.4</v>
          </cell>
          <cell r="G31">
            <v>11.3</v>
          </cell>
          <cell r="H31">
            <v>11.3</v>
          </cell>
          <cell r="I31">
            <v>25.6</v>
          </cell>
          <cell r="J31">
            <v>10.5</v>
          </cell>
        </row>
        <row r="32">
          <cell r="A32">
            <v>36</v>
          </cell>
          <cell r="B32" t="str">
            <v>Nam Định</v>
          </cell>
          <cell r="C32">
            <v>12.3</v>
          </cell>
          <cell r="D32">
            <v>12.1</v>
          </cell>
          <cell r="E32">
            <v>12.1</v>
          </cell>
          <cell r="F32">
            <v>11.9</v>
          </cell>
          <cell r="G32">
            <v>11.7</v>
          </cell>
          <cell r="H32">
            <v>11.8</v>
          </cell>
          <cell r="I32">
            <v>17.2</v>
          </cell>
          <cell r="J32">
            <v>10.8</v>
          </cell>
        </row>
        <row r="33">
          <cell r="A33">
            <v>37</v>
          </cell>
          <cell r="B33" t="str">
            <v>Ninh Bình</v>
          </cell>
          <cell r="C33">
            <v>14.1</v>
          </cell>
          <cell r="D33">
            <v>13.9</v>
          </cell>
          <cell r="E33">
            <v>13.8</v>
          </cell>
          <cell r="F33">
            <v>13.6</v>
          </cell>
          <cell r="G33">
            <v>12.5</v>
          </cell>
          <cell r="H33">
            <v>12.4</v>
          </cell>
          <cell r="I33">
            <v>15.1</v>
          </cell>
          <cell r="J33">
            <v>11.9</v>
          </cell>
        </row>
        <row r="34">
          <cell r="A34">
            <v>38</v>
          </cell>
          <cell r="B34" t="str">
            <v>Thanh Hoá</v>
          </cell>
          <cell r="C34">
            <v>15.2</v>
          </cell>
          <cell r="D34">
            <v>15</v>
          </cell>
          <cell r="E34">
            <v>14.9</v>
          </cell>
          <cell r="F34">
            <v>14.6</v>
          </cell>
          <cell r="G34">
            <v>14.4</v>
          </cell>
          <cell r="H34">
            <v>14.4</v>
          </cell>
          <cell r="I34">
            <v>13.8</v>
          </cell>
          <cell r="J34">
            <v>13.4</v>
          </cell>
        </row>
        <row r="35">
          <cell r="A35">
            <v>40</v>
          </cell>
          <cell r="B35" t="str">
            <v>Nghệ An</v>
          </cell>
          <cell r="C35">
            <v>16.5</v>
          </cell>
          <cell r="D35">
            <v>16.3</v>
          </cell>
          <cell r="E35">
            <v>16.2</v>
          </cell>
          <cell r="F35">
            <v>15.9</v>
          </cell>
          <cell r="G35">
            <v>15.3</v>
          </cell>
          <cell r="H35">
            <v>15.2</v>
          </cell>
          <cell r="I35">
            <v>14.3</v>
          </cell>
          <cell r="J35">
            <v>14.1</v>
          </cell>
        </row>
        <row r="36">
          <cell r="A36">
            <v>42</v>
          </cell>
          <cell r="B36" t="str">
            <v>Hà Tĩnh</v>
          </cell>
          <cell r="C36">
            <v>16.8</v>
          </cell>
          <cell r="D36">
            <v>16.600000000000001</v>
          </cell>
          <cell r="E36">
            <v>16.5</v>
          </cell>
          <cell r="F36">
            <v>16.2</v>
          </cell>
          <cell r="G36">
            <v>16.7</v>
          </cell>
          <cell r="H36">
            <v>16.100000000000001</v>
          </cell>
          <cell r="I36">
            <v>14.7</v>
          </cell>
          <cell r="J36">
            <v>14.6</v>
          </cell>
        </row>
        <row r="37">
          <cell r="A37">
            <v>44</v>
          </cell>
          <cell r="B37" t="str">
            <v>Quảng Bình</v>
          </cell>
          <cell r="C37">
            <v>16.7</v>
          </cell>
          <cell r="D37">
            <v>16.399999999999999</v>
          </cell>
          <cell r="E37">
            <v>16.3</v>
          </cell>
          <cell r="F37">
            <v>16</v>
          </cell>
          <cell r="G37">
            <v>16.5</v>
          </cell>
          <cell r="H37">
            <v>15.9</v>
          </cell>
          <cell r="I37">
            <v>15.5</v>
          </cell>
          <cell r="J37">
            <v>15.2</v>
          </cell>
        </row>
        <row r="38">
          <cell r="A38">
            <v>45</v>
          </cell>
          <cell r="B38" t="str">
            <v>Quảng Trị</v>
          </cell>
          <cell r="C38">
            <v>31.3</v>
          </cell>
          <cell r="D38">
            <v>30.8</v>
          </cell>
          <cell r="E38">
            <v>30.6</v>
          </cell>
          <cell r="F38">
            <v>30.2</v>
          </cell>
          <cell r="G38">
            <v>30.7</v>
          </cell>
          <cell r="H38">
            <v>26.7</v>
          </cell>
          <cell r="I38">
            <v>20.9</v>
          </cell>
          <cell r="J38">
            <v>20.100000000000001</v>
          </cell>
        </row>
        <row r="39">
          <cell r="A39">
            <v>46</v>
          </cell>
          <cell r="B39" t="str">
            <v>Thừa Thiên Huế</v>
          </cell>
          <cell r="C39">
            <v>19.600000000000001</v>
          </cell>
          <cell r="D39">
            <v>19.3</v>
          </cell>
          <cell r="E39">
            <v>19.2</v>
          </cell>
          <cell r="F39">
            <v>18.899999999999999</v>
          </cell>
          <cell r="G39">
            <v>19.100000000000001</v>
          </cell>
          <cell r="H39">
            <v>17.399999999999999</v>
          </cell>
          <cell r="I39">
            <v>15.3</v>
          </cell>
          <cell r="J39">
            <v>15</v>
          </cell>
        </row>
        <row r="40">
          <cell r="A40">
            <v>48</v>
          </cell>
          <cell r="B40" t="str">
            <v>Đà Nẵng</v>
          </cell>
          <cell r="C40">
            <v>8.6999999999999993</v>
          </cell>
          <cell r="D40">
            <v>8.5</v>
          </cell>
          <cell r="E40">
            <v>8.5</v>
          </cell>
          <cell r="F40">
            <v>8.4</v>
          </cell>
          <cell r="G40">
            <v>8</v>
          </cell>
          <cell r="H40">
            <v>8.1999999999999993</v>
          </cell>
          <cell r="I40">
            <v>7.5</v>
          </cell>
          <cell r="J40">
            <v>8</v>
          </cell>
        </row>
        <row r="41">
          <cell r="A41">
            <v>49</v>
          </cell>
          <cell r="B41" t="str">
            <v>Quảng Nam</v>
          </cell>
          <cell r="C41">
            <v>16.3</v>
          </cell>
          <cell r="D41">
            <v>16.100000000000001</v>
          </cell>
          <cell r="E41">
            <v>16</v>
          </cell>
          <cell r="F41">
            <v>15.7</v>
          </cell>
          <cell r="G41">
            <v>15.4</v>
          </cell>
          <cell r="H41">
            <v>15.3</v>
          </cell>
          <cell r="I41">
            <v>14.7</v>
          </cell>
          <cell r="J41">
            <v>14.2</v>
          </cell>
        </row>
        <row r="42">
          <cell r="A42">
            <v>51</v>
          </cell>
          <cell r="B42" t="str">
            <v>Quảng Ngãi</v>
          </cell>
          <cell r="C42">
            <v>17.5</v>
          </cell>
          <cell r="D42">
            <v>17.3</v>
          </cell>
          <cell r="E42">
            <v>17.2</v>
          </cell>
          <cell r="F42">
            <v>16.899999999999999</v>
          </cell>
          <cell r="G42">
            <v>17.2</v>
          </cell>
          <cell r="H42">
            <v>16.8</v>
          </cell>
          <cell r="I42">
            <v>15.6</v>
          </cell>
          <cell r="J42">
            <v>15.1</v>
          </cell>
        </row>
        <row r="43">
          <cell r="A43">
            <v>52</v>
          </cell>
          <cell r="B43" t="str">
            <v>Bình Định</v>
          </cell>
          <cell r="C43">
            <v>14.8</v>
          </cell>
          <cell r="D43">
            <v>14.6</v>
          </cell>
          <cell r="E43">
            <v>14.5</v>
          </cell>
          <cell r="F43">
            <v>14.3</v>
          </cell>
          <cell r="G43">
            <v>14.2</v>
          </cell>
          <cell r="H43">
            <v>14.3</v>
          </cell>
          <cell r="I43">
            <v>12.9</v>
          </cell>
          <cell r="J43">
            <v>12.4</v>
          </cell>
        </row>
        <row r="44">
          <cell r="A44">
            <v>54</v>
          </cell>
          <cell r="B44" t="str">
            <v>Phú Yên</v>
          </cell>
          <cell r="C44">
            <v>14.9</v>
          </cell>
          <cell r="D44">
            <v>14.7</v>
          </cell>
          <cell r="E44">
            <v>14.6</v>
          </cell>
          <cell r="F44">
            <v>14.3</v>
          </cell>
          <cell r="G44">
            <v>14</v>
          </cell>
          <cell r="H44">
            <v>14.2</v>
          </cell>
          <cell r="I44">
            <v>13.8</v>
          </cell>
          <cell r="J44">
            <v>13.2</v>
          </cell>
        </row>
        <row r="45">
          <cell r="A45">
            <v>56</v>
          </cell>
          <cell r="B45" t="str">
            <v>Khánh Hoà</v>
          </cell>
          <cell r="C45">
            <v>13.7</v>
          </cell>
          <cell r="D45">
            <v>13.5</v>
          </cell>
          <cell r="E45">
            <v>13.5</v>
          </cell>
          <cell r="F45">
            <v>13.3</v>
          </cell>
          <cell r="G45">
            <v>14.2</v>
          </cell>
          <cell r="H45">
            <v>13.1</v>
          </cell>
          <cell r="I45">
            <v>12.5</v>
          </cell>
          <cell r="J45">
            <v>12.1</v>
          </cell>
        </row>
        <row r="46">
          <cell r="A46">
            <v>58</v>
          </cell>
          <cell r="B46" t="str">
            <v>Ninh Thuận</v>
          </cell>
          <cell r="C46">
            <v>16.100000000000001</v>
          </cell>
          <cell r="D46">
            <v>15.8</v>
          </cell>
          <cell r="E46">
            <v>15.7</v>
          </cell>
          <cell r="F46">
            <v>15.5</v>
          </cell>
          <cell r="G46">
            <v>15.8</v>
          </cell>
          <cell r="H46">
            <v>15.2</v>
          </cell>
          <cell r="I46">
            <v>14.2</v>
          </cell>
          <cell r="J46">
            <v>13.8</v>
          </cell>
        </row>
        <row r="47">
          <cell r="A47">
            <v>60</v>
          </cell>
          <cell r="B47" t="str">
            <v>Bình Thuận</v>
          </cell>
          <cell r="C47">
            <v>12.3</v>
          </cell>
          <cell r="D47">
            <v>12.1</v>
          </cell>
          <cell r="E47">
            <v>12.1</v>
          </cell>
          <cell r="F47">
            <v>11.8</v>
          </cell>
          <cell r="G47">
            <v>11.6</v>
          </cell>
          <cell r="H47">
            <v>11.4</v>
          </cell>
          <cell r="I47">
            <v>11.1</v>
          </cell>
          <cell r="J47">
            <v>10.8</v>
          </cell>
        </row>
        <row r="48">
          <cell r="A48">
            <v>62</v>
          </cell>
          <cell r="B48" t="str">
            <v>Kon Tum</v>
          </cell>
          <cell r="C48">
            <v>37.4</v>
          </cell>
          <cell r="D48">
            <v>36.799999999999997</v>
          </cell>
          <cell r="E48">
            <v>36.6</v>
          </cell>
          <cell r="F48">
            <v>36</v>
          </cell>
          <cell r="G48">
            <v>32.6</v>
          </cell>
          <cell r="H48">
            <v>31.3</v>
          </cell>
          <cell r="I48">
            <v>26.2</v>
          </cell>
          <cell r="J48">
            <v>25.3</v>
          </cell>
        </row>
        <row r="49">
          <cell r="A49">
            <v>64</v>
          </cell>
          <cell r="B49" t="str">
            <v>Gia Lai</v>
          </cell>
          <cell r="C49">
            <v>25.8</v>
          </cell>
          <cell r="D49">
            <v>25.4</v>
          </cell>
          <cell r="E49">
            <v>25.2</v>
          </cell>
          <cell r="F49">
            <v>24.8</v>
          </cell>
          <cell r="G49">
            <v>24.2</v>
          </cell>
          <cell r="H49">
            <v>20.8</v>
          </cell>
          <cell r="I49">
            <v>17.7</v>
          </cell>
          <cell r="J49">
            <v>17.100000000000001</v>
          </cell>
        </row>
        <row r="50">
          <cell r="A50">
            <v>66</v>
          </cell>
          <cell r="B50" t="str">
            <v>Đắk Lắk</v>
          </cell>
          <cell r="C50">
            <v>23.6</v>
          </cell>
          <cell r="D50">
            <v>23.2</v>
          </cell>
          <cell r="E50">
            <v>23.1</v>
          </cell>
          <cell r="F50">
            <v>22.7</v>
          </cell>
          <cell r="G50">
            <v>21.3</v>
          </cell>
          <cell r="H50">
            <v>20</v>
          </cell>
          <cell r="I50">
            <v>18.899999999999999</v>
          </cell>
          <cell r="J50">
            <v>18.5</v>
          </cell>
        </row>
        <row r="51">
          <cell r="A51">
            <v>67</v>
          </cell>
          <cell r="B51" t="str">
            <v>Đắk Nông</v>
          </cell>
          <cell r="C51">
            <v>25.2</v>
          </cell>
          <cell r="D51">
            <v>24.9</v>
          </cell>
          <cell r="E51">
            <v>24.7</v>
          </cell>
          <cell r="F51">
            <v>24.3</v>
          </cell>
          <cell r="G51">
            <v>24.1</v>
          </cell>
          <cell r="H51">
            <v>23.5</v>
          </cell>
          <cell r="I51">
            <v>20.2</v>
          </cell>
          <cell r="J51">
            <v>19.399999999999999</v>
          </cell>
        </row>
        <row r="52">
          <cell r="A52">
            <v>68</v>
          </cell>
          <cell r="B52" t="str">
            <v>Lâm Đồng</v>
          </cell>
          <cell r="C52">
            <v>16</v>
          </cell>
          <cell r="D52">
            <v>15.8</v>
          </cell>
          <cell r="E52">
            <v>15.7</v>
          </cell>
          <cell r="F52">
            <v>15.4</v>
          </cell>
          <cell r="G52">
            <v>14.8</v>
          </cell>
          <cell r="H52">
            <v>14.8</v>
          </cell>
          <cell r="I52">
            <v>14.1</v>
          </cell>
          <cell r="J52">
            <v>13.4</v>
          </cell>
        </row>
        <row r="53">
          <cell r="A53">
            <v>70</v>
          </cell>
          <cell r="B53" t="str">
            <v>Bình Phước</v>
          </cell>
          <cell r="C53">
            <v>13.8</v>
          </cell>
          <cell r="D53">
            <v>13.6</v>
          </cell>
          <cell r="E53">
            <v>13.5</v>
          </cell>
          <cell r="F53">
            <v>13.3</v>
          </cell>
          <cell r="G53">
            <v>13.1</v>
          </cell>
          <cell r="H53">
            <v>13</v>
          </cell>
          <cell r="I53">
            <v>12.4</v>
          </cell>
          <cell r="J53">
            <v>12.1</v>
          </cell>
        </row>
        <row r="54">
          <cell r="A54">
            <v>72</v>
          </cell>
          <cell r="B54" t="str">
            <v>Tây Ninh</v>
          </cell>
          <cell r="C54">
            <v>11.6</v>
          </cell>
          <cell r="D54">
            <v>11.4</v>
          </cell>
          <cell r="E54">
            <v>11.3</v>
          </cell>
          <cell r="F54">
            <v>11.1</v>
          </cell>
          <cell r="G54">
            <v>11.2</v>
          </cell>
          <cell r="H54">
            <v>11</v>
          </cell>
          <cell r="I54">
            <v>10.9</v>
          </cell>
          <cell r="J54">
            <v>10.5</v>
          </cell>
        </row>
        <row r="55">
          <cell r="A55">
            <v>74</v>
          </cell>
          <cell r="B55" t="str">
            <v>Bình Dương</v>
          </cell>
          <cell r="C55">
            <v>8.8000000000000007</v>
          </cell>
          <cell r="D55">
            <v>8.6999999999999993</v>
          </cell>
          <cell r="E55">
            <v>8.6</v>
          </cell>
          <cell r="F55">
            <v>8.5</v>
          </cell>
          <cell r="G55">
            <v>8.1999999999999993</v>
          </cell>
          <cell r="H55">
            <v>8.6999999999999993</v>
          </cell>
          <cell r="I55">
            <v>8.1999999999999993</v>
          </cell>
          <cell r="J55">
            <v>8.1</v>
          </cell>
        </row>
        <row r="56">
          <cell r="A56">
            <v>75</v>
          </cell>
          <cell r="B56" t="str">
            <v>Đồng Nai</v>
          </cell>
          <cell r="C56">
            <v>7.5</v>
          </cell>
          <cell r="D56">
            <v>7.4</v>
          </cell>
          <cell r="E56">
            <v>7.4</v>
          </cell>
          <cell r="F56">
            <v>7.2</v>
          </cell>
          <cell r="G56">
            <v>7.9</v>
          </cell>
          <cell r="H56">
            <v>8</v>
          </cell>
          <cell r="I56">
            <v>8</v>
          </cell>
          <cell r="J56">
            <v>8</v>
          </cell>
        </row>
        <row r="57">
          <cell r="A57">
            <v>77</v>
          </cell>
          <cell r="B57" t="str">
            <v>Bà Rịa-Vũng Tàu(***)</v>
          </cell>
          <cell r="C57">
            <v>8</v>
          </cell>
          <cell r="D57">
            <v>7.9</v>
          </cell>
          <cell r="E57">
            <v>7.8</v>
          </cell>
          <cell r="F57">
            <v>7.7</v>
          </cell>
          <cell r="G57">
            <v>7.6</v>
          </cell>
          <cell r="H57">
            <v>7.7</v>
          </cell>
          <cell r="I57">
            <v>7.6</v>
          </cell>
          <cell r="J57">
            <v>7.8</v>
          </cell>
        </row>
        <row r="58">
          <cell r="A58">
            <v>79</v>
          </cell>
          <cell r="B58" t="str">
            <v>TP Hồ Chí Minh</v>
          </cell>
          <cell r="C58">
            <v>7.6</v>
          </cell>
          <cell r="D58">
            <v>7.5</v>
          </cell>
          <cell r="E58">
            <v>7.4</v>
          </cell>
          <cell r="F58">
            <v>7.3</v>
          </cell>
          <cell r="G58">
            <v>7.6</v>
          </cell>
          <cell r="H58">
            <v>7.8</v>
          </cell>
          <cell r="I58">
            <v>7.8</v>
          </cell>
          <cell r="J58">
            <v>7.6</v>
          </cell>
        </row>
        <row r="59">
          <cell r="A59">
            <v>80</v>
          </cell>
          <cell r="B59" t="str">
            <v>Long An</v>
          </cell>
          <cell r="C59">
            <v>9.4</v>
          </cell>
          <cell r="D59">
            <v>9.1999999999999993</v>
          </cell>
          <cell r="E59">
            <v>9.1999999999999993</v>
          </cell>
          <cell r="F59">
            <v>9</v>
          </cell>
          <cell r="G59">
            <v>9.3000000000000007</v>
          </cell>
          <cell r="H59">
            <v>9</v>
          </cell>
          <cell r="I59">
            <v>8.3000000000000007</v>
          </cell>
          <cell r="J59">
            <v>8.5</v>
          </cell>
        </row>
        <row r="60">
          <cell r="A60">
            <v>82</v>
          </cell>
          <cell r="B60" t="str">
            <v>Tiền Giang</v>
          </cell>
          <cell r="C60">
            <v>9</v>
          </cell>
          <cell r="D60">
            <v>8.8000000000000007</v>
          </cell>
          <cell r="E60">
            <v>8.8000000000000007</v>
          </cell>
          <cell r="F60">
            <v>8.6</v>
          </cell>
          <cell r="G60">
            <v>8.3000000000000007</v>
          </cell>
          <cell r="H60">
            <v>8.6999999999999993</v>
          </cell>
          <cell r="I60">
            <v>8.9</v>
          </cell>
          <cell r="J60">
            <v>8.6</v>
          </cell>
        </row>
        <row r="61">
          <cell r="A61">
            <v>83</v>
          </cell>
          <cell r="B61" t="str">
            <v>Bến Tre</v>
          </cell>
          <cell r="C61">
            <v>9.6</v>
          </cell>
          <cell r="D61">
            <v>9.5</v>
          </cell>
          <cell r="E61">
            <v>9.4</v>
          </cell>
          <cell r="F61">
            <v>9.1999999999999993</v>
          </cell>
          <cell r="G61">
            <v>9.3000000000000007</v>
          </cell>
          <cell r="H61">
            <v>9.1999999999999993</v>
          </cell>
          <cell r="I61">
            <v>9.1999999999999993</v>
          </cell>
          <cell r="J61">
            <v>9</v>
          </cell>
        </row>
        <row r="62">
          <cell r="A62">
            <v>84</v>
          </cell>
          <cell r="B62" t="str">
            <v>Trà Vinh</v>
          </cell>
          <cell r="C62">
            <v>12.1</v>
          </cell>
          <cell r="D62">
            <v>11.9</v>
          </cell>
          <cell r="E62">
            <v>11.8</v>
          </cell>
          <cell r="F62">
            <v>11.6</v>
          </cell>
          <cell r="G62">
            <v>11.1</v>
          </cell>
          <cell r="H62">
            <v>11.4</v>
          </cell>
          <cell r="I62">
            <v>10.1</v>
          </cell>
          <cell r="J62">
            <v>10.199999999999999</v>
          </cell>
        </row>
        <row r="63">
          <cell r="A63">
            <v>86</v>
          </cell>
          <cell r="B63" t="str">
            <v>Vĩnh Long</v>
          </cell>
          <cell r="C63">
            <v>9.9</v>
          </cell>
          <cell r="D63">
            <v>9.8000000000000007</v>
          </cell>
          <cell r="E63">
            <v>9.6999999999999993</v>
          </cell>
          <cell r="F63">
            <v>9.6</v>
          </cell>
          <cell r="G63">
            <v>9.4</v>
          </cell>
          <cell r="H63">
            <v>9.6999999999999993</v>
          </cell>
          <cell r="I63">
            <v>9</v>
          </cell>
          <cell r="J63">
            <v>9.1999999999999993</v>
          </cell>
        </row>
        <row r="64">
          <cell r="A64">
            <v>87</v>
          </cell>
          <cell r="B64" t="str">
            <v>Đồng Tháp</v>
          </cell>
          <cell r="C64">
            <v>11.7</v>
          </cell>
          <cell r="D64">
            <v>11.5</v>
          </cell>
          <cell r="E64">
            <v>11.4</v>
          </cell>
          <cell r="F64">
            <v>11.2</v>
          </cell>
          <cell r="G64">
            <v>10.9</v>
          </cell>
          <cell r="H64">
            <v>11.3</v>
          </cell>
          <cell r="I64">
            <v>10.4</v>
          </cell>
          <cell r="J64">
            <v>10.5</v>
          </cell>
        </row>
        <row r="65">
          <cell r="A65">
            <v>89</v>
          </cell>
          <cell r="B65" t="str">
            <v>An Giang</v>
          </cell>
          <cell r="C65">
            <v>14.1</v>
          </cell>
          <cell r="D65">
            <v>13.9</v>
          </cell>
          <cell r="E65">
            <v>13.8</v>
          </cell>
          <cell r="F65">
            <v>13.6</v>
          </cell>
          <cell r="G65">
            <v>13.5</v>
          </cell>
          <cell r="H65">
            <v>13.7</v>
          </cell>
          <cell r="I65">
            <v>13.1</v>
          </cell>
          <cell r="J65">
            <v>12.8</v>
          </cell>
        </row>
        <row r="66">
          <cell r="A66">
            <v>91</v>
          </cell>
          <cell r="B66" t="str">
            <v>Kiên Giang</v>
          </cell>
          <cell r="C66">
            <v>12.3</v>
          </cell>
          <cell r="D66">
            <v>12.1</v>
          </cell>
          <cell r="E66">
            <v>12.1</v>
          </cell>
          <cell r="F66">
            <v>11.9</v>
          </cell>
          <cell r="G66">
            <v>11.9</v>
          </cell>
          <cell r="H66">
            <v>11.9</v>
          </cell>
          <cell r="I66">
            <v>11.6</v>
          </cell>
          <cell r="J66">
            <v>11.4</v>
          </cell>
        </row>
        <row r="67">
          <cell r="A67">
            <v>92</v>
          </cell>
          <cell r="B67" t="str">
            <v>Cần Thơ</v>
          </cell>
          <cell r="C67">
            <v>9.1</v>
          </cell>
          <cell r="D67">
            <v>9</v>
          </cell>
          <cell r="E67">
            <v>8.9</v>
          </cell>
          <cell r="F67">
            <v>8.8000000000000007</v>
          </cell>
          <cell r="G67">
            <v>8.6</v>
          </cell>
          <cell r="H67">
            <v>9</v>
          </cell>
          <cell r="I67">
            <v>8.4</v>
          </cell>
          <cell r="J67">
            <v>8.8000000000000007</v>
          </cell>
        </row>
        <row r="68">
          <cell r="A68">
            <v>93</v>
          </cell>
          <cell r="B68" t="str">
            <v>Hậu Giang</v>
          </cell>
          <cell r="C68">
            <v>9.9</v>
          </cell>
          <cell r="D68">
            <v>9.6999999999999993</v>
          </cell>
          <cell r="E68">
            <v>9.6999999999999993</v>
          </cell>
          <cell r="F68">
            <v>9.5</v>
          </cell>
          <cell r="G68">
            <v>9.5</v>
          </cell>
          <cell r="H68">
            <v>9.5</v>
          </cell>
          <cell r="I68">
            <v>9</v>
          </cell>
          <cell r="J68">
            <v>9.1</v>
          </cell>
        </row>
        <row r="69">
          <cell r="A69">
            <v>94</v>
          </cell>
          <cell r="B69" t="str">
            <v>Sóc Trăng</v>
          </cell>
          <cell r="C69">
            <v>12.9</v>
          </cell>
          <cell r="D69">
            <v>12.7</v>
          </cell>
          <cell r="E69">
            <v>12.6</v>
          </cell>
          <cell r="F69">
            <v>12.4</v>
          </cell>
          <cell r="G69">
            <v>12.1</v>
          </cell>
          <cell r="H69">
            <v>12.3</v>
          </cell>
          <cell r="I69">
            <v>11.7</v>
          </cell>
          <cell r="J69">
            <v>11.5</v>
          </cell>
        </row>
        <row r="70">
          <cell r="A70">
            <v>95</v>
          </cell>
          <cell r="B70" t="str">
            <v>Bạc Liêu</v>
          </cell>
          <cell r="C70">
            <v>11.9</v>
          </cell>
          <cell r="D70">
            <v>11.7</v>
          </cell>
          <cell r="E70">
            <v>11.7</v>
          </cell>
          <cell r="F70">
            <v>11.5</v>
          </cell>
          <cell r="G70">
            <v>11.3</v>
          </cell>
          <cell r="H70">
            <v>11.5</v>
          </cell>
          <cell r="I70">
            <v>10.9</v>
          </cell>
          <cell r="J70">
            <v>10.4</v>
          </cell>
        </row>
        <row r="71">
          <cell r="A71">
            <v>96</v>
          </cell>
          <cell r="B71" t="str">
            <v>Cà Mau</v>
          </cell>
          <cell r="C71">
            <v>11.1</v>
          </cell>
          <cell r="D71">
            <v>10.9</v>
          </cell>
          <cell r="E71">
            <v>10.9</v>
          </cell>
          <cell r="F71">
            <v>10.6</v>
          </cell>
          <cell r="G71">
            <v>10</v>
          </cell>
          <cell r="H71">
            <v>10.4</v>
          </cell>
          <cell r="I71">
            <v>9.9</v>
          </cell>
          <cell r="J71">
            <v>9.6999999999999993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14.9</v>
          </cell>
          <cell r="D9">
            <v>14.7</v>
          </cell>
          <cell r="E9">
            <v>14.6</v>
          </cell>
          <cell r="F9">
            <v>14.4</v>
          </cell>
          <cell r="G9">
            <v>13.9</v>
          </cell>
          <cell r="H9">
            <v>13.8</v>
          </cell>
          <cell r="I9">
            <v>12.8</v>
          </cell>
          <cell r="J9">
            <v>12.5</v>
          </cell>
        </row>
        <row r="10">
          <cell r="A10" t="str">
            <v>02</v>
          </cell>
          <cell r="B10" t="str">
            <v>Hà Giang</v>
          </cell>
          <cell r="C10">
            <v>50.8</v>
          </cell>
          <cell r="D10">
            <v>50</v>
          </cell>
          <cell r="E10">
            <v>49.7</v>
          </cell>
          <cell r="F10">
            <v>48.9</v>
          </cell>
          <cell r="G10">
            <v>45.8</v>
          </cell>
          <cell r="H10">
            <v>43.5</v>
          </cell>
          <cell r="I10">
            <v>17</v>
          </cell>
          <cell r="J10">
            <v>29.9</v>
          </cell>
        </row>
        <row r="11">
          <cell r="A11" t="str">
            <v>04</v>
          </cell>
          <cell r="B11" t="str">
            <v>Cao Bằng</v>
          </cell>
          <cell r="C11">
            <v>35.6</v>
          </cell>
          <cell r="D11">
            <v>35.1</v>
          </cell>
          <cell r="E11">
            <v>34.9</v>
          </cell>
          <cell r="F11">
            <v>34.200000000000003</v>
          </cell>
          <cell r="G11">
            <v>34.4</v>
          </cell>
          <cell r="H11">
            <v>30.4</v>
          </cell>
          <cell r="I11">
            <v>17.3</v>
          </cell>
          <cell r="J11">
            <v>26.2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23.3</v>
          </cell>
        </row>
        <row r="14">
          <cell r="A14">
            <v>10</v>
          </cell>
          <cell r="B14" t="str">
            <v>Lào Cai</v>
          </cell>
          <cell r="C14">
            <v>43.2</v>
          </cell>
          <cell r="D14">
            <v>42.5</v>
          </cell>
          <cell r="E14">
            <v>42.2</v>
          </cell>
          <cell r="F14">
            <v>41.5</v>
          </cell>
          <cell r="G14">
            <v>40.9</v>
          </cell>
          <cell r="H14">
            <v>37.299999999999997</v>
          </cell>
          <cell r="I14">
            <v>16.899999999999999</v>
          </cell>
          <cell r="J14">
            <v>30.5</v>
          </cell>
        </row>
        <row r="15">
          <cell r="A15">
            <v>11</v>
          </cell>
          <cell r="B15" t="str">
            <v>Điện Biên</v>
          </cell>
          <cell r="C15">
            <v>51.1</v>
          </cell>
          <cell r="D15">
            <v>50.3</v>
          </cell>
          <cell r="E15">
            <v>50</v>
          </cell>
          <cell r="F15">
            <v>49.1</v>
          </cell>
          <cell r="G15">
            <v>45.5</v>
          </cell>
          <cell r="H15">
            <v>45.5</v>
          </cell>
          <cell r="I15">
            <v>16.8</v>
          </cell>
          <cell r="J15">
            <v>37.700000000000003</v>
          </cell>
        </row>
        <row r="16">
          <cell r="A16">
            <v>12</v>
          </cell>
          <cell r="B16" t="str">
            <v>Lai Châu</v>
          </cell>
          <cell r="C16">
            <v>64.599999999999994</v>
          </cell>
          <cell r="D16">
            <v>63.5</v>
          </cell>
          <cell r="E16">
            <v>63.1</v>
          </cell>
          <cell r="F16">
            <v>61.9</v>
          </cell>
          <cell r="G16">
            <v>56.1</v>
          </cell>
          <cell r="H16">
            <v>48.8</v>
          </cell>
          <cell r="I16">
            <v>14.8</v>
          </cell>
          <cell r="J16">
            <v>38</v>
          </cell>
        </row>
        <row r="17">
          <cell r="A17">
            <v>14</v>
          </cell>
          <cell r="B17" t="str">
            <v>Sơn La</v>
          </cell>
          <cell r="C17">
            <v>34</v>
          </cell>
          <cell r="D17">
            <v>33.5</v>
          </cell>
          <cell r="E17">
            <v>33.299999999999997</v>
          </cell>
          <cell r="F17">
            <v>32.700000000000003</v>
          </cell>
          <cell r="G17">
            <v>32.4</v>
          </cell>
          <cell r="H17">
            <v>32.5</v>
          </cell>
          <cell r="I17">
            <v>15.6</v>
          </cell>
          <cell r="J17">
            <v>21.6</v>
          </cell>
        </row>
        <row r="18">
          <cell r="A18">
            <v>15</v>
          </cell>
          <cell r="B18" t="str">
            <v>Yên Bái</v>
          </cell>
          <cell r="C18">
            <v>40.299999999999997</v>
          </cell>
          <cell r="D18">
            <v>39.700000000000003</v>
          </cell>
          <cell r="E18">
            <v>39.4</v>
          </cell>
          <cell r="F18">
            <v>38.700000000000003</v>
          </cell>
          <cell r="G18">
            <v>39.299999999999997</v>
          </cell>
          <cell r="H18">
            <v>38.9</v>
          </cell>
          <cell r="I18">
            <v>16.899999999999999</v>
          </cell>
          <cell r="J18">
            <v>29</v>
          </cell>
        </row>
        <row r="19">
          <cell r="A19">
            <v>17</v>
          </cell>
          <cell r="B19" t="str">
            <v>Hoà Bình</v>
          </cell>
          <cell r="C19">
            <v>25.7</v>
          </cell>
          <cell r="D19">
            <v>25.3</v>
          </cell>
          <cell r="E19">
            <v>25.1</v>
          </cell>
          <cell r="F19">
            <v>24.8</v>
          </cell>
          <cell r="G19">
            <v>25</v>
          </cell>
          <cell r="H19">
            <v>24.6</v>
          </cell>
          <cell r="I19">
            <v>18.3</v>
          </cell>
          <cell r="J19">
            <v>21.9</v>
          </cell>
        </row>
        <row r="20">
          <cell r="A20">
            <v>19</v>
          </cell>
          <cell r="B20" t="str">
            <v>Thái Nguyên</v>
          </cell>
          <cell r="C20">
            <v>21.7</v>
          </cell>
          <cell r="D20">
            <v>21.4</v>
          </cell>
          <cell r="E20">
            <v>21.2</v>
          </cell>
          <cell r="F20">
            <v>20.9</v>
          </cell>
          <cell r="G20">
            <v>20.6</v>
          </cell>
          <cell r="H20">
            <v>20.5</v>
          </cell>
          <cell r="I20">
            <v>35.4</v>
          </cell>
          <cell r="J20">
            <v>17.5</v>
          </cell>
        </row>
        <row r="21">
          <cell r="A21">
            <v>20</v>
          </cell>
          <cell r="B21" t="str">
            <v>Lạng Sơn</v>
          </cell>
          <cell r="C21">
            <v>27.1</v>
          </cell>
          <cell r="D21">
            <v>26.6</v>
          </cell>
          <cell r="E21">
            <v>26.5</v>
          </cell>
          <cell r="F21">
            <v>26</v>
          </cell>
          <cell r="G21">
            <v>25.7</v>
          </cell>
          <cell r="H21">
            <v>25.6</v>
          </cell>
          <cell r="I21">
            <v>28.4</v>
          </cell>
          <cell r="J21">
            <v>23.1</v>
          </cell>
        </row>
        <row r="22">
          <cell r="A22">
            <v>22</v>
          </cell>
          <cell r="B22" t="str">
            <v>Quảng Ninh</v>
          </cell>
          <cell r="C22">
            <v>22.3</v>
          </cell>
          <cell r="D22">
            <v>21.9</v>
          </cell>
          <cell r="E22">
            <v>21.8</v>
          </cell>
          <cell r="F22">
            <v>21.4</v>
          </cell>
          <cell r="G22">
            <v>21.6</v>
          </cell>
          <cell r="H22">
            <v>21.4</v>
          </cell>
          <cell r="I22">
            <v>24.4</v>
          </cell>
          <cell r="J22">
            <v>19.2</v>
          </cell>
        </row>
        <row r="23">
          <cell r="A23">
            <v>24</v>
          </cell>
          <cell r="B23" t="str">
            <v>Bắc Giang</v>
          </cell>
          <cell r="C23">
            <v>22.6</v>
          </cell>
          <cell r="D23">
            <v>22.3</v>
          </cell>
          <cell r="E23">
            <v>22.1</v>
          </cell>
          <cell r="F23">
            <v>21.8</v>
          </cell>
          <cell r="G23">
            <v>21.5</v>
          </cell>
          <cell r="H23">
            <v>21.7</v>
          </cell>
          <cell r="I23">
            <v>24.6</v>
          </cell>
          <cell r="J23">
            <v>18</v>
          </cell>
        </row>
        <row r="24">
          <cell r="A24">
            <v>25</v>
          </cell>
          <cell r="B24" t="str">
            <v>Phú Thọ</v>
          </cell>
          <cell r="C24">
            <v>22.2</v>
          </cell>
          <cell r="D24">
            <v>21.9</v>
          </cell>
          <cell r="E24">
            <v>21.8</v>
          </cell>
          <cell r="F24">
            <v>21.4</v>
          </cell>
          <cell r="G24">
            <v>21.6</v>
          </cell>
          <cell r="H24">
            <v>21.2</v>
          </cell>
          <cell r="I24">
            <v>33.5</v>
          </cell>
          <cell r="J24">
            <v>18.100000000000001</v>
          </cell>
        </row>
        <row r="25">
          <cell r="A25">
            <v>26</v>
          </cell>
          <cell r="B25" t="str">
            <v>Vĩnh Phúc</v>
          </cell>
          <cell r="C25">
            <v>19</v>
          </cell>
          <cell r="D25">
            <v>18.7</v>
          </cell>
          <cell r="E25">
            <v>18.600000000000001</v>
          </cell>
          <cell r="F25">
            <v>18.3</v>
          </cell>
          <cell r="G25">
            <v>19.399999999999999</v>
          </cell>
          <cell r="H25">
            <v>18.100000000000001</v>
          </cell>
          <cell r="I25">
            <v>34.4</v>
          </cell>
          <cell r="J25">
            <v>16.3</v>
          </cell>
        </row>
        <row r="26">
          <cell r="A26">
            <v>27</v>
          </cell>
          <cell r="B26" t="str">
            <v>Bắc Ninh</v>
          </cell>
          <cell r="C26">
            <v>18.899999999999999</v>
          </cell>
          <cell r="D26">
            <v>18.600000000000001</v>
          </cell>
          <cell r="E26">
            <v>18.5</v>
          </cell>
          <cell r="F26">
            <v>18.2</v>
          </cell>
          <cell r="G26">
            <v>19.2</v>
          </cell>
          <cell r="H26">
            <v>18.5</v>
          </cell>
          <cell r="I26">
            <v>19</v>
          </cell>
          <cell r="J26">
            <v>15.8</v>
          </cell>
        </row>
        <row r="27">
          <cell r="A27">
            <v>30</v>
          </cell>
          <cell r="B27" t="str">
            <v>Hải Dương</v>
          </cell>
          <cell r="C27">
            <v>17.2</v>
          </cell>
          <cell r="D27">
            <v>17</v>
          </cell>
          <cell r="E27">
            <v>16.8</v>
          </cell>
          <cell r="F27">
            <v>16.5</v>
          </cell>
          <cell r="G27">
            <v>16.399999999999999</v>
          </cell>
          <cell r="H27">
            <v>16.399999999999999</v>
          </cell>
          <cell r="I27">
            <v>24.5</v>
          </cell>
          <cell r="J27">
            <v>15.7</v>
          </cell>
        </row>
        <row r="28">
          <cell r="A28">
            <v>31</v>
          </cell>
          <cell r="B28" t="str">
            <v>Hải Phòng</v>
          </cell>
          <cell r="C28">
            <v>17.600000000000001</v>
          </cell>
          <cell r="D28">
            <v>17.399999999999999</v>
          </cell>
          <cell r="E28">
            <v>17.3</v>
          </cell>
          <cell r="F28">
            <v>17</v>
          </cell>
          <cell r="G28">
            <v>17.5</v>
          </cell>
          <cell r="H28">
            <v>17</v>
          </cell>
          <cell r="I28">
            <v>19.899999999999999</v>
          </cell>
          <cell r="J28">
            <v>16</v>
          </cell>
        </row>
        <row r="29">
          <cell r="A29">
            <v>33</v>
          </cell>
          <cell r="B29" t="str">
            <v>Hưng Yên</v>
          </cell>
          <cell r="C29">
            <v>18</v>
          </cell>
          <cell r="D29">
            <v>17.7</v>
          </cell>
          <cell r="E29">
            <v>17.600000000000001</v>
          </cell>
          <cell r="F29">
            <v>17.3</v>
          </cell>
          <cell r="G29">
            <v>16.899999999999999</v>
          </cell>
          <cell r="H29">
            <v>17</v>
          </cell>
          <cell r="I29">
            <v>19.899999999999999</v>
          </cell>
          <cell r="J29">
            <v>15.8</v>
          </cell>
        </row>
        <row r="30">
          <cell r="A30">
            <v>34</v>
          </cell>
          <cell r="B30" t="str">
            <v>Thái Bình</v>
          </cell>
          <cell r="C30">
            <v>15.1</v>
          </cell>
          <cell r="D30">
            <v>14.8</v>
          </cell>
          <cell r="E30">
            <v>14.8</v>
          </cell>
          <cell r="F30">
            <v>14.5</v>
          </cell>
          <cell r="G30">
            <v>16.100000000000001</v>
          </cell>
          <cell r="H30">
            <v>14.6</v>
          </cell>
          <cell r="I30">
            <v>41.5</v>
          </cell>
          <cell r="J30">
            <v>14.5</v>
          </cell>
        </row>
        <row r="31">
          <cell r="A31">
            <v>35</v>
          </cell>
          <cell r="B31" t="str">
            <v>Hà Nam</v>
          </cell>
          <cell r="C31">
            <v>17.7</v>
          </cell>
          <cell r="D31">
            <v>17.399999999999999</v>
          </cell>
          <cell r="E31">
            <v>17.3</v>
          </cell>
          <cell r="F31">
            <v>17</v>
          </cell>
          <cell r="G31">
            <v>16.899999999999999</v>
          </cell>
          <cell r="H31">
            <v>16.899999999999999</v>
          </cell>
          <cell r="I31">
            <v>42.8</v>
          </cell>
          <cell r="J31">
            <v>15.7</v>
          </cell>
        </row>
        <row r="32">
          <cell r="A32">
            <v>36</v>
          </cell>
          <cell r="B32" t="str">
            <v>Nam Định</v>
          </cell>
          <cell r="C32">
            <v>18.5</v>
          </cell>
          <cell r="D32">
            <v>18.2</v>
          </cell>
          <cell r="E32">
            <v>18.100000000000001</v>
          </cell>
          <cell r="F32">
            <v>17.7</v>
          </cell>
          <cell r="G32">
            <v>17.399999999999999</v>
          </cell>
          <cell r="H32">
            <v>17.7</v>
          </cell>
          <cell r="I32">
            <v>28.3</v>
          </cell>
          <cell r="J32">
            <v>16.100000000000001</v>
          </cell>
        </row>
        <row r="33">
          <cell r="A33">
            <v>37</v>
          </cell>
          <cell r="B33" t="str">
            <v>Ninh Bình</v>
          </cell>
          <cell r="C33">
            <v>21.1</v>
          </cell>
          <cell r="D33">
            <v>20.8</v>
          </cell>
          <cell r="E33">
            <v>20.7</v>
          </cell>
          <cell r="F33">
            <v>20.3</v>
          </cell>
          <cell r="G33">
            <v>18.8</v>
          </cell>
          <cell r="H33">
            <v>18.5</v>
          </cell>
          <cell r="I33">
            <v>23.3</v>
          </cell>
          <cell r="J33">
            <v>17.8</v>
          </cell>
        </row>
        <row r="34">
          <cell r="A34">
            <v>38</v>
          </cell>
          <cell r="B34" t="str">
            <v>Thanh Hoá</v>
          </cell>
          <cell r="C34">
            <v>22.8</v>
          </cell>
          <cell r="D34">
            <v>22.5</v>
          </cell>
          <cell r="E34">
            <v>22.3</v>
          </cell>
          <cell r="F34">
            <v>22</v>
          </cell>
          <cell r="G34">
            <v>21.7</v>
          </cell>
          <cell r="H34">
            <v>21.6</v>
          </cell>
          <cell r="I34">
            <v>21</v>
          </cell>
          <cell r="J34">
            <v>20.100000000000001</v>
          </cell>
        </row>
        <row r="35">
          <cell r="A35">
            <v>40</v>
          </cell>
          <cell r="B35" t="str">
            <v>Nghệ An</v>
          </cell>
          <cell r="C35">
            <v>24.8</v>
          </cell>
          <cell r="D35">
            <v>24.4</v>
          </cell>
          <cell r="E35">
            <v>24.3</v>
          </cell>
          <cell r="F35">
            <v>23.9</v>
          </cell>
          <cell r="G35">
            <v>23</v>
          </cell>
          <cell r="H35">
            <v>22.8</v>
          </cell>
          <cell r="I35">
            <v>21.9</v>
          </cell>
          <cell r="J35">
            <v>21.2</v>
          </cell>
        </row>
        <row r="36">
          <cell r="A36">
            <v>42</v>
          </cell>
          <cell r="B36" t="str">
            <v>Hà Tĩnh</v>
          </cell>
          <cell r="C36">
            <v>25.3</v>
          </cell>
          <cell r="D36">
            <v>24.9</v>
          </cell>
          <cell r="E36">
            <v>24.7</v>
          </cell>
          <cell r="F36">
            <v>24.3</v>
          </cell>
          <cell r="G36">
            <v>25.1</v>
          </cell>
          <cell r="H36">
            <v>24.2</v>
          </cell>
          <cell r="I36">
            <v>22.8</v>
          </cell>
          <cell r="J36">
            <v>21.9</v>
          </cell>
        </row>
        <row r="37">
          <cell r="A37">
            <v>44</v>
          </cell>
          <cell r="B37" t="str">
            <v>Quảng Bình</v>
          </cell>
          <cell r="C37">
            <v>25.1</v>
          </cell>
          <cell r="D37">
            <v>24.7</v>
          </cell>
          <cell r="E37">
            <v>24.5</v>
          </cell>
          <cell r="F37">
            <v>25.1</v>
          </cell>
          <cell r="G37">
            <v>24.8</v>
          </cell>
          <cell r="H37">
            <v>23.9</v>
          </cell>
          <cell r="I37">
            <v>23.5</v>
          </cell>
          <cell r="J37">
            <v>22.8</v>
          </cell>
        </row>
        <row r="38">
          <cell r="A38">
            <v>45</v>
          </cell>
          <cell r="B38" t="str">
            <v>Quảng Trị</v>
          </cell>
          <cell r="C38">
            <v>48.1</v>
          </cell>
          <cell r="D38">
            <v>47.4</v>
          </cell>
          <cell r="E38">
            <v>47.1</v>
          </cell>
          <cell r="F38">
            <v>46.3</v>
          </cell>
          <cell r="G38">
            <v>47.1</v>
          </cell>
          <cell r="H38">
            <v>40.700000000000003</v>
          </cell>
          <cell r="I38">
            <v>35</v>
          </cell>
          <cell r="J38">
            <v>30.4</v>
          </cell>
        </row>
        <row r="39">
          <cell r="A39">
            <v>46</v>
          </cell>
          <cell r="B39" t="str">
            <v>Thừa Thiên Huế</v>
          </cell>
          <cell r="C39">
            <v>29.6</v>
          </cell>
          <cell r="D39">
            <v>29.2</v>
          </cell>
          <cell r="E39">
            <v>29</v>
          </cell>
          <cell r="F39">
            <v>28.5</v>
          </cell>
          <cell r="G39">
            <v>28.9</v>
          </cell>
          <cell r="H39">
            <v>26.2</v>
          </cell>
          <cell r="I39">
            <v>24.1</v>
          </cell>
          <cell r="J39">
            <v>22.5</v>
          </cell>
        </row>
        <row r="40">
          <cell r="A40">
            <v>48</v>
          </cell>
          <cell r="B40" t="str">
            <v>Đà Nẵng</v>
          </cell>
          <cell r="C40">
            <v>13.1</v>
          </cell>
          <cell r="D40">
            <v>12.9</v>
          </cell>
          <cell r="E40">
            <v>12.8</v>
          </cell>
          <cell r="F40">
            <v>12.6</v>
          </cell>
          <cell r="G40">
            <v>12.1</v>
          </cell>
          <cell r="H40">
            <v>12.4</v>
          </cell>
          <cell r="I40">
            <v>11.7</v>
          </cell>
          <cell r="J40">
            <v>12.1</v>
          </cell>
        </row>
        <row r="41">
          <cell r="A41">
            <v>49</v>
          </cell>
          <cell r="B41" t="str">
            <v>Quảng Nam</v>
          </cell>
          <cell r="C41">
            <v>24.6</v>
          </cell>
          <cell r="D41">
            <v>24.2</v>
          </cell>
          <cell r="E41">
            <v>24</v>
          </cell>
          <cell r="F41">
            <v>23.6</v>
          </cell>
          <cell r="G41">
            <v>23.2</v>
          </cell>
          <cell r="H41">
            <v>23</v>
          </cell>
          <cell r="I41">
            <v>22.4</v>
          </cell>
          <cell r="J41">
            <v>21.3</v>
          </cell>
        </row>
        <row r="42">
          <cell r="A42">
            <v>51</v>
          </cell>
          <cell r="B42" t="str">
            <v>Quảng Ngãi</v>
          </cell>
          <cell r="C42">
            <v>26.4</v>
          </cell>
          <cell r="D42">
            <v>26</v>
          </cell>
          <cell r="E42">
            <v>25.8</v>
          </cell>
          <cell r="F42">
            <v>25.4</v>
          </cell>
          <cell r="G42">
            <v>25.9</v>
          </cell>
          <cell r="H42">
            <v>25.3</v>
          </cell>
          <cell r="I42">
            <v>24.1</v>
          </cell>
          <cell r="J42">
            <v>22.7</v>
          </cell>
        </row>
        <row r="43">
          <cell r="A43">
            <v>52</v>
          </cell>
          <cell r="B43" t="str">
            <v>Bình Định</v>
          </cell>
          <cell r="C43">
            <v>22.3</v>
          </cell>
          <cell r="D43">
            <v>22</v>
          </cell>
          <cell r="E43">
            <v>21.8</v>
          </cell>
          <cell r="F43">
            <v>21.4</v>
          </cell>
          <cell r="G43">
            <v>21.3</v>
          </cell>
          <cell r="H43">
            <v>21.5</v>
          </cell>
          <cell r="I43">
            <v>20.100000000000001</v>
          </cell>
          <cell r="J43">
            <v>18.600000000000001</v>
          </cell>
        </row>
        <row r="44">
          <cell r="A44">
            <v>54</v>
          </cell>
          <cell r="B44" t="str">
            <v>Phú Yên</v>
          </cell>
          <cell r="C44">
            <v>22.4</v>
          </cell>
          <cell r="D44">
            <v>22</v>
          </cell>
          <cell r="E44">
            <v>21.9</v>
          </cell>
          <cell r="F44">
            <v>21.5</v>
          </cell>
          <cell r="G44">
            <v>21.1</v>
          </cell>
          <cell r="H44">
            <v>21.3</v>
          </cell>
          <cell r="I44">
            <v>20.9</v>
          </cell>
          <cell r="J44">
            <v>19.8</v>
          </cell>
        </row>
        <row r="45">
          <cell r="A45">
            <v>56</v>
          </cell>
          <cell r="B45" t="str">
            <v>Khánh Hoà</v>
          </cell>
          <cell r="C45">
            <v>20.6</v>
          </cell>
          <cell r="D45">
            <v>20.3</v>
          </cell>
          <cell r="E45">
            <v>20.2</v>
          </cell>
          <cell r="F45">
            <v>19.899999999999999</v>
          </cell>
          <cell r="G45">
            <v>21.3</v>
          </cell>
          <cell r="H45">
            <v>19.7</v>
          </cell>
          <cell r="I45">
            <v>19</v>
          </cell>
          <cell r="J45">
            <v>18.100000000000001</v>
          </cell>
        </row>
        <row r="46">
          <cell r="A46">
            <v>58</v>
          </cell>
          <cell r="B46" t="str">
            <v>Ninh Thuận</v>
          </cell>
          <cell r="C46">
            <v>24.2</v>
          </cell>
          <cell r="D46">
            <v>23.8</v>
          </cell>
          <cell r="E46">
            <v>23.7</v>
          </cell>
          <cell r="F46">
            <v>23.3</v>
          </cell>
          <cell r="G46">
            <v>23.7</v>
          </cell>
          <cell r="H46">
            <v>22.8</v>
          </cell>
          <cell r="I46">
            <v>21.8</v>
          </cell>
          <cell r="J46">
            <v>20.7</v>
          </cell>
        </row>
        <row r="47">
          <cell r="A47">
            <v>60</v>
          </cell>
          <cell r="B47" t="str">
            <v>Bình Thuận</v>
          </cell>
          <cell r="C47">
            <v>18.399999999999999</v>
          </cell>
          <cell r="D47">
            <v>18.2</v>
          </cell>
          <cell r="E47">
            <v>18</v>
          </cell>
          <cell r="F47">
            <v>17.7</v>
          </cell>
          <cell r="G47">
            <v>17.399999999999999</v>
          </cell>
          <cell r="H47">
            <v>17.100000000000001</v>
          </cell>
          <cell r="I47">
            <v>16.7</v>
          </cell>
          <cell r="J47">
            <v>16.100000000000001</v>
          </cell>
        </row>
        <row r="48">
          <cell r="A48">
            <v>62</v>
          </cell>
          <cell r="B48" t="str">
            <v>Kon Tum</v>
          </cell>
          <cell r="C48">
            <v>58.1</v>
          </cell>
          <cell r="D48">
            <v>57.2</v>
          </cell>
          <cell r="E48">
            <v>56.8</v>
          </cell>
          <cell r="F48">
            <v>55.8</v>
          </cell>
          <cell r="G48">
            <v>50.2</v>
          </cell>
          <cell r="H48">
            <v>48.1</v>
          </cell>
          <cell r="I48">
            <v>43.1</v>
          </cell>
          <cell r="J48">
            <v>38.5</v>
          </cell>
        </row>
        <row r="49">
          <cell r="A49">
            <v>64</v>
          </cell>
          <cell r="B49" t="str">
            <v>Gia Lai</v>
          </cell>
          <cell r="C49">
            <v>39.299999999999997</v>
          </cell>
          <cell r="D49">
            <v>38.700000000000003</v>
          </cell>
          <cell r="E49">
            <v>38.4</v>
          </cell>
          <cell r="F49">
            <v>37.799999999999997</v>
          </cell>
          <cell r="G49">
            <v>36.799999999999997</v>
          </cell>
          <cell r="H49">
            <v>31.4</v>
          </cell>
          <cell r="I49">
            <v>28.4</v>
          </cell>
          <cell r="J49">
            <v>25.7</v>
          </cell>
        </row>
        <row r="50">
          <cell r="A50">
            <v>66</v>
          </cell>
          <cell r="B50" t="str">
            <v>Đắk Lắk</v>
          </cell>
          <cell r="C50">
            <v>35.799999999999997</v>
          </cell>
          <cell r="D50">
            <v>35.200000000000003</v>
          </cell>
          <cell r="E50">
            <v>35</v>
          </cell>
          <cell r="F50">
            <v>34.4</v>
          </cell>
          <cell r="G50">
            <v>32.200000000000003</v>
          </cell>
          <cell r="H50">
            <v>30.2</v>
          </cell>
          <cell r="I50">
            <v>29.1</v>
          </cell>
          <cell r="J50">
            <v>27.9</v>
          </cell>
        </row>
        <row r="51">
          <cell r="A51">
            <v>67</v>
          </cell>
          <cell r="B51" t="str">
            <v>Đắk Nông</v>
          </cell>
          <cell r="C51">
            <v>38.4</v>
          </cell>
          <cell r="D51">
            <v>37.799999999999997</v>
          </cell>
          <cell r="E51">
            <v>37.6</v>
          </cell>
          <cell r="F51">
            <v>37</v>
          </cell>
          <cell r="G51">
            <v>36.6</v>
          </cell>
          <cell r="H51">
            <v>35.700000000000003</v>
          </cell>
          <cell r="I51">
            <v>32.4</v>
          </cell>
          <cell r="J51">
            <v>29.3</v>
          </cell>
        </row>
        <row r="52">
          <cell r="A52">
            <v>68</v>
          </cell>
          <cell r="B52" t="str">
            <v>Lâm Đồng</v>
          </cell>
          <cell r="C52">
            <v>24.1</v>
          </cell>
          <cell r="D52">
            <v>23.8</v>
          </cell>
          <cell r="E52">
            <v>23.6</v>
          </cell>
          <cell r="F52">
            <v>23.2</v>
          </cell>
          <cell r="G52">
            <v>22.2</v>
          </cell>
          <cell r="H52">
            <v>22.3</v>
          </cell>
          <cell r="I52">
            <v>21.6</v>
          </cell>
          <cell r="J52">
            <v>20.100000000000001</v>
          </cell>
        </row>
        <row r="53">
          <cell r="A53">
            <v>70</v>
          </cell>
          <cell r="B53" t="str">
            <v>Bình Phước</v>
          </cell>
          <cell r="C53">
            <v>20.7</v>
          </cell>
          <cell r="D53">
            <v>20.399999999999999</v>
          </cell>
          <cell r="E53">
            <v>20.3</v>
          </cell>
          <cell r="F53">
            <v>19.899999999999999</v>
          </cell>
          <cell r="G53">
            <v>19.600000000000001</v>
          </cell>
          <cell r="H53">
            <v>19.5</v>
          </cell>
          <cell r="I53">
            <v>18.899999999999999</v>
          </cell>
          <cell r="J53">
            <v>18.100000000000001</v>
          </cell>
        </row>
        <row r="54">
          <cell r="A54">
            <v>72</v>
          </cell>
          <cell r="B54" t="str">
            <v>Tây Ninh</v>
          </cell>
          <cell r="C54">
            <v>17.3</v>
          </cell>
          <cell r="D54">
            <v>17</v>
          </cell>
          <cell r="E54">
            <v>16.899999999999999</v>
          </cell>
          <cell r="F54">
            <v>16.600000000000001</v>
          </cell>
          <cell r="G54">
            <v>16.8</v>
          </cell>
          <cell r="H54">
            <v>16.5</v>
          </cell>
          <cell r="I54">
            <v>16.3</v>
          </cell>
          <cell r="J54">
            <v>15.7</v>
          </cell>
        </row>
        <row r="55">
          <cell r="A55">
            <v>74</v>
          </cell>
          <cell r="B55" t="str">
            <v>Bình Dương</v>
          </cell>
          <cell r="C55">
            <v>13.3</v>
          </cell>
          <cell r="D55">
            <v>13.1</v>
          </cell>
          <cell r="E55">
            <v>13</v>
          </cell>
          <cell r="F55">
            <v>14.1</v>
          </cell>
          <cell r="G55">
            <v>13.9</v>
          </cell>
          <cell r="H55">
            <v>14.4</v>
          </cell>
          <cell r="I55">
            <v>13.9</v>
          </cell>
          <cell r="J55">
            <v>13.8</v>
          </cell>
        </row>
        <row r="56">
          <cell r="A56">
            <v>75</v>
          </cell>
          <cell r="B56" t="str">
            <v>Đồng Nai</v>
          </cell>
          <cell r="C56">
            <v>11.3</v>
          </cell>
          <cell r="D56">
            <v>11.2</v>
          </cell>
          <cell r="E56">
            <v>11.1</v>
          </cell>
          <cell r="F56">
            <v>10.9</v>
          </cell>
          <cell r="G56">
            <v>12</v>
          </cell>
          <cell r="H56">
            <v>12.1</v>
          </cell>
          <cell r="I56">
            <v>12</v>
          </cell>
          <cell r="J56">
            <v>12.1</v>
          </cell>
        </row>
        <row r="57">
          <cell r="A57">
            <v>77</v>
          </cell>
          <cell r="B57" t="str">
            <v>Bà Rịa-Vũng Tàu(***)</v>
          </cell>
          <cell r="C57">
            <v>12.1</v>
          </cell>
          <cell r="D57">
            <v>11.9</v>
          </cell>
          <cell r="E57">
            <v>11.8</v>
          </cell>
          <cell r="F57">
            <v>11.6</v>
          </cell>
          <cell r="G57">
            <v>11.5</v>
          </cell>
          <cell r="H57">
            <v>11.6</v>
          </cell>
          <cell r="I57">
            <v>11.5</v>
          </cell>
          <cell r="J57">
            <v>11.8</v>
          </cell>
        </row>
        <row r="58">
          <cell r="A58">
            <v>79</v>
          </cell>
          <cell r="B58" t="str">
            <v>TP Hồ Chí Minh</v>
          </cell>
          <cell r="C58">
            <v>11.5</v>
          </cell>
          <cell r="D58">
            <v>11.3</v>
          </cell>
          <cell r="E58">
            <v>11.2</v>
          </cell>
          <cell r="F58">
            <v>11</v>
          </cell>
          <cell r="G58">
            <v>11.5</v>
          </cell>
          <cell r="H58">
            <v>11.7</v>
          </cell>
          <cell r="I58">
            <v>11.9</v>
          </cell>
          <cell r="J58">
            <v>11.5</v>
          </cell>
        </row>
        <row r="59">
          <cell r="A59">
            <v>80</v>
          </cell>
          <cell r="B59" t="str">
            <v>Long An</v>
          </cell>
          <cell r="C59">
            <v>14</v>
          </cell>
          <cell r="D59">
            <v>13.8</v>
          </cell>
          <cell r="E59">
            <v>13.7</v>
          </cell>
          <cell r="F59">
            <v>13.5</v>
          </cell>
          <cell r="G59">
            <v>13.9</v>
          </cell>
          <cell r="H59">
            <v>13.5</v>
          </cell>
          <cell r="I59">
            <v>12.6</v>
          </cell>
          <cell r="J59">
            <v>12.8</v>
          </cell>
        </row>
        <row r="60">
          <cell r="A60">
            <v>82</v>
          </cell>
          <cell r="B60" t="str">
            <v>Tiền Giang</v>
          </cell>
          <cell r="C60">
            <v>13.4</v>
          </cell>
          <cell r="D60">
            <v>13.2</v>
          </cell>
          <cell r="E60">
            <v>13.2</v>
          </cell>
          <cell r="F60">
            <v>13</v>
          </cell>
          <cell r="G60">
            <v>12.5</v>
          </cell>
          <cell r="H60">
            <v>13.1</v>
          </cell>
          <cell r="I60">
            <v>13.4</v>
          </cell>
          <cell r="J60">
            <v>13</v>
          </cell>
        </row>
        <row r="61">
          <cell r="A61">
            <v>83</v>
          </cell>
          <cell r="B61" t="str">
            <v>Bến Tre</v>
          </cell>
          <cell r="C61">
            <v>14.4</v>
          </cell>
          <cell r="D61">
            <v>14.2</v>
          </cell>
          <cell r="E61">
            <v>14.1</v>
          </cell>
          <cell r="F61">
            <v>13.8</v>
          </cell>
          <cell r="G61">
            <v>13.9</v>
          </cell>
          <cell r="H61">
            <v>13.8</v>
          </cell>
          <cell r="I61">
            <v>13.8</v>
          </cell>
          <cell r="J61">
            <v>13.5</v>
          </cell>
        </row>
        <row r="62">
          <cell r="A62">
            <v>84</v>
          </cell>
          <cell r="B62" t="str">
            <v>Trà Vinh</v>
          </cell>
          <cell r="C62">
            <v>18.100000000000001</v>
          </cell>
          <cell r="D62">
            <v>17.8</v>
          </cell>
          <cell r="E62">
            <v>17.7</v>
          </cell>
          <cell r="F62">
            <v>17.3</v>
          </cell>
          <cell r="G62">
            <v>16.600000000000001</v>
          </cell>
          <cell r="H62">
            <v>17.100000000000001</v>
          </cell>
          <cell r="I62">
            <v>15.7</v>
          </cell>
          <cell r="J62">
            <v>15.2</v>
          </cell>
        </row>
        <row r="63">
          <cell r="A63">
            <v>86</v>
          </cell>
          <cell r="B63" t="str">
            <v>Vĩnh Long</v>
          </cell>
          <cell r="C63">
            <v>14.8</v>
          </cell>
          <cell r="D63">
            <v>14.6</v>
          </cell>
          <cell r="E63">
            <v>14.5</v>
          </cell>
          <cell r="F63">
            <v>14.4</v>
          </cell>
          <cell r="G63">
            <v>14.1</v>
          </cell>
          <cell r="H63">
            <v>14.5</v>
          </cell>
          <cell r="I63">
            <v>13.8</v>
          </cell>
          <cell r="J63">
            <v>13.7</v>
          </cell>
        </row>
        <row r="64">
          <cell r="A64">
            <v>87</v>
          </cell>
          <cell r="B64" t="str">
            <v>Đồng Tháp</v>
          </cell>
          <cell r="C64">
            <v>17.399999999999999</v>
          </cell>
          <cell r="D64">
            <v>17.2</v>
          </cell>
          <cell r="E64">
            <v>17.100000000000001</v>
          </cell>
          <cell r="F64">
            <v>16.8</v>
          </cell>
          <cell r="G64">
            <v>16.2</v>
          </cell>
          <cell r="H64">
            <v>16.899999999999999</v>
          </cell>
          <cell r="I64">
            <v>16</v>
          </cell>
          <cell r="J64">
            <v>15.7</v>
          </cell>
        </row>
        <row r="65">
          <cell r="A65">
            <v>89</v>
          </cell>
          <cell r="B65" t="str">
            <v>An Giang</v>
          </cell>
          <cell r="C65">
            <v>21.2</v>
          </cell>
          <cell r="D65">
            <v>20.9</v>
          </cell>
          <cell r="E65">
            <v>20.7</v>
          </cell>
          <cell r="F65">
            <v>20.399999999999999</v>
          </cell>
          <cell r="G65">
            <v>20.3</v>
          </cell>
          <cell r="H65">
            <v>20.5</v>
          </cell>
          <cell r="I65">
            <v>19.899999999999999</v>
          </cell>
          <cell r="J65">
            <v>19.2</v>
          </cell>
        </row>
        <row r="66">
          <cell r="A66">
            <v>91</v>
          </cell>
          <cell r="B66" t="str">
            <v>Kiên Giang</v>
          </cell>
          <cell r="C66">
            <v>18.5</v>
          </cell>
          <cell r="D66">
            <v>18.2</v>
          </cell>
          <cell r="E66">
            <v>18.100000000000001</v>
          </cell>
          <cell r="F66">
            <v>17.8</v>
          </cell>
          <cell r="G66">
            <v>17.8</v>
          </cell>
          <cell r="H66">
            <v>17.8</v>
          </cell>
          <cell r="I66">
            <v>17.600000000000001</v>
          </cell>
          <cell r="J66">
            <v>17</v>
          </cell>
        </row>
        <row r="67">
          <cell r="A67">
            <v>92</v>
          </cell>
          <cell r="B67" t="str">
            <v>Cần Thơ</v>
          </cell>
          <cell r="C67">
            <v>13.6</v>
          </cell>
          <cell r="D67">
            <v>13.4</v>
          </cell>
          <cell r="E67">
            <v>13.4</v>
          </cell>
          <cell r="F67">
            <v>13.2</v>
          </cell>
          <cell r="G67">
            <v>13</v>
          </cell>
          <cell r="H67">
            <v>13.5</v>
          </cell>
          <cell r="I67">
            <v>13</v>
          </cell>
          <cell r="J67">
            <v>13.3</v>
          </cell>
        </row>
        <row r="68">
          <cell r="A68">
            <v>93</v>
          </cell>
          <cell r="B68" t="str">
            <v>Hậu Giang</v>
          </cell>
          <cell r="C68">
            <v>14.8</v>
          </cell>
          <cell r="D68">
            <v>14.6</v>
          </cell>
          <cell r="E68">
            <v>14.5</v>
          </cell>
          <cell r="F68">
            <v>14.2</v>
          </cell>
          <cell r="G68">
            <v>14.2</v>
          </cell>
          <cell r="H68">
            <v>14.1</v>
          </cell>
          <cell r="I68">
            <v>13.6</v>
          </cell>
          <cell r="J68">
            <v>13.6</v>
          </cell>
        </row>
        <row r="69">
          <cell r="A69">
            <v>94</v>
          </cell>
          <cell r="B69" t="str">
            <v>Sóc Trăng</v>
          </cell>
          <cell r="C69">
            <v>19.3</v>
          </cell>
          <cell r="D69">
            <v>19</v>
          </cell>
          <cell r="E69">
            <v>18.899999999999999</v>
          </cell>
          <cell r="F69">
            <v>18.600000000000001</v>
          </cell>
          <cell r="G69">
            <v>18.100000000000001</v>
          </cell>
          <cell r="H69">
            <v>18.399999999999999</v>
          </cell>
          <cell r="I69">
            <v>17.8</v>
          </cell>
          <cell r="J69">
            <v>17.2</v>
          </cell>
        </row>
        <row r="70">
          <cell r="A70">
            <v>95</v>
          </cell>
          <cell r="B70" t="str">
            <v>Bạc Liêu</v>
          </cell>
          <cell r="C70">
            <v>17.8</v>
          </cell>
          <cell r="D70">
            <v>17.5</v>
          </cell>
          <cell r="E70">
            <v>17.399999999999999</v>
          </cell>
          <cell r="F70">
            <v>17.2</v>
          </cell>
          <cell r="G70">
            <v>16.8</v>
          </cell>
          <cell r="H70">
            <v>17.2</v>
          </cell>
          <cell r="I70">
            <v>16.600000000000001</v>
          </cell>
          <cell r="J70">
            <v>15.5</v>
          </cell>
        </row>
        <row r="71">
          <cell r="A71">
            <v>96</v>
          </cell>
          <cell r="B71" t="str">
            <v>Cà Mau</v>
          </cell>
          <cell r="C71">
            <v>16.600000000000001</v>
          </cell>
          <cell r="D71">
            <v>16.3</v>
          </cell>
          <cell r="E71">
            <v>16.2</v>
          </cell>
          <cell r="F71">
            <v>15.9</v>
          </cell>
          <cell r="G71">
            <v>14.9</v>
          </cell>
          <cell r="H71">
            <v>15.5</v>
          </cell>
          <cell r="I71">
            <v>15.1</v>
          </cell>
          <cell r="J71">
            <v>14.5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 refreshError="1">
        <row r="9">
          <cell r="A9" t="str">
            <v>01</v>
          </cell>
          <cell r="B9" t="str">
            <v>Hà Nội</v>
          </cell>
          <cell r="C9">
            <v>2.06</v>
          </cell>
          <cell r="D9">
            <v>2</v>
          </cell>
          <cell r="E9">
            <v>2.0699999999999998</v>
          </cell>
          <cell r="F9">
            <v>2.2400000000000002</v>
          </cell>
          <cell r="G9">
            <v>2.25</v>
          </cell>
          <cell r="H9">
            <v>2.1800000000000002</v>
          </cell>
          <cell r="I9">
            <v>2.13</v>
          </cell>
          <cell r="J9">
            <v>1.88</v>
          </cell>
        </row>
        <row r="10">
          <cell r="A10" t="str">
            <v>02</v>
          </cell>
          <cell r="B10" t="str">
            <v>Hà Giang</v>
          </cell>
          <cell r="C10">
            <v>2.42</v>
          </cell>
          <cell r="D10">
            <v>2.4900000000000002</v>
          </cell>
          <cell r="E10">
            <v>2.74</v>
          </cell>
          <cell r="F10">
            <v>2.4700000000000002</v>
          </cell>
          <cell r="G10">
            <v>2.57</v>
          </cell>
          <cell r="H10">
            <v>2.62</v>
          </cell>
          <cell r="I10">
            <v>2.23</v>
          </cell>
          <cell r="J10">
            <v>2.74</v>
          </cell>
        </row>
        <row r="11">
          <cell r="A11" t="str">
            <v>04</v>
          </cell>
          <cell r="B11" t="str">
            <v>Cao Bằng</v>
          </cell>
          <cell r="C11">
            <v>2.46</v>
          </cell>
          <cell r="D11">
            <v>2.34</v>
          </cell>
          <cell r="E11">
            <v>2.48</v>
          </cell>
          <cell r="F11">
            <v>2.4300000000000002</v>
          </cell>
          <cell r="G11">
            <v>2.42</v>
          </cell>
          <cell r="H11">
            <v>2.4</v>
          </cell>
          <cell r="I11">
            <v>2.5299999999999998</v>
          </cell>
          <cell r="J11">
            <v>2.3199999999999998</v>
          </cell>
        </row>
        <row r="12">
          <cell r="A12">
            <v>6</v>
          </cell>
          <cell r="B12" t="str">
            <v>Bắc Kạn</v>
          </cell>
          <cell r="C12"/>
          <cell r="D12"/>
          <cell r="E12"/>
          <cell r="F12"/>
          <cell r="G12"/>
          <cell r="H12"/>
          <cell r="I12"/>
          <cell r="J12"/>
        </row>
        <row r="13">
          <cell r="A13" t="str">
            <v>08</v>
          </cell>
          <cell r="B13" t="str">
            <v>Tuyên Quang</v>
          </cell>
          <cell r="C13"/>
          <cell r="D13"/>
          <cell r="E13"/>
          <cell r="F13"/>
          <cell r="G13"/>
          <cell r="H13"/>
          <cell r="I13"/>
          <cell r="J13">
            <v>2.17</v>
          </cell>
        </row>
        <row r="14">
          <cell r="A14">
            <v>10</v>
          </cell>
          <cell r="B14" t="str">
            <v>Lào Cai</v>
          </cell>
          <cell r="C14">
            <v>2.73</v>
          </cell>
          <cell r="D14">
            <v>2.2400000000000002</v>
          </cell>
          <cell r="E14">
            <v>2.4300000000000002</v>
          </cell>
          <cell r="F14">
            <v>2.44</v>
          </cell>
          <cell r="G14">
            <v>2.4300000000000002</v>
          </cell>
          <cell r="H14">
            <v>2.4</v>
          </cell>
          <cell r="I14">
            <v>2.2999999999999998</v>
          </cell>
          <cell r="J14">
            <v>2.73</v>
          </cell>
        </row>
        <row r="15">
          <cell r="A15">
            <v>11</v>
          </cell>
          <cell r="B15" t="str">
            <v>Điện Biên</v>
          </cell>
          <cell r="C15">
            <v>2.4300000000000002</v>
          </cell>
          <cell r="D15">
            <v>2.84</v>
          </cell>
          <cell r="E15">
            <v>2.78</v>
          </cell>
          <cell r="F15">
            <v>2.72</v>
          </cell>
          <cell r="G15">
            <v>2.66</v>
          </cell>
          <cell r="H15">
            <v>2.7</v>
          </cell>
          <cell r="I15">
            <v>2.52</v>
          </cell>
          <cell r="J15">
            <v>2.56</v>
          </cell>
        </row>
        <row r="16">
          <cell r="A16">
            <v>12</v>
          </cell>
          <cell r="B16" t="str">
            <v>Lai Châu</v>
          </cell>
          <cell r="C16">
            <v>2.91</v>
          </cell>
          <cell r="D16">
            <v>2.86</v>
          </cell>
          <cell r="E16">
            <v>2.6</v>
          </cell>
          <cell r="F16">
            <v>2.68</v>
          </cell>
          <cell r="G16">
            <v>2.63</v>
          </cell>
          <cell r="H16">
            <v>2.77</v>
          </cell>
          <cell r="I16">
            <v>2.21</v>
          </cell>
          <cell r="J16">
            <v>2.6</v>
          </cell>
        </row>
        <row r="17">
          <cell r="A17">
            <v>14</v>
          </cell>
          <cell r="B17" t="str">
            <v>Sơn La</v>
          </cell>
          <cell r="C17">
            <v>2.9</v>
          </cell>
          <cell r="D17">
            <v>2.77</v>
          </cell>
          <cell r="E17">
            <v>2.36</v>
          </cell>
          <cell r="F17">
            <v>2.44</v>
          </cell>
          <cell r="G17">
            <v>2.36</v>
          </cell>
          <cell r="H17">
            <v>2.36</v>
          </cell>
          <cell r="I17">
            <v>2.42</v>
          </cell>
          <cell r="J17">
            <v>2.2000000000000002</v>
          </cell>
        </row>
        <row r="18">
          <cell r="A18">
            <v>15</v>
          </cell>
          <cell r="B18" t="str">
            <v>Yên Bái</v>
          </cell>
          <cell r="C18">
            <v>2.89</v>
          </cell>
          <cell r="D18">
            <v>2.77</v>
          </cell>
          <cell r="E18">
            <v>2.96</v>
          </cell>
          <cell r="F18">
            <v>2.74</v>
          </cell>
          <cell r="G18">
            <v>2.64</v>
          </cell>
          <cell r="H18">
            <v>2.77</v>
          </cell>
          <cell r="I18">
            <v>2.75</v>
          </cell>
          <cell r="J18">
            <v>2.4500000000000002</v>
          </cell>
        </row>
        <row r="19">
          <cell r="A19">
            <v>17</v>
          </cell>
          <cell r="B19" t="str">
            <v>Hoà Bình</v>
          </cell>
          <cell r="C19">
            <v>2.56</v>
          </cell>
          <cell r="D19">
            <v>2.2999999999999998</v>
          </cell>
          <cell r="E19">
            <v>2.42</v>
          </cell>
          <cell r="F19">
            <v>2.34</v>
          </cell>
          <cell r="G19">
            <v>2.29</v>
          </cell>
          <cell r="H19">
            <v>2.19</v>
          </cell>
          <cell r="I19">
            <v>2.3199999999999998</v>
          </cell>
          <cell r="J19">
            <v>2.17</v>
          </cell>
        </row>
        <row r="20">
          <cell r="A20">
            <v>19</v>
          </cell>
          <cell r="B20" t="str">
            <v>Thái Nguyên</v>
          </cell>
          <cell r="C20">
            <v>2.4500000000000002</v>
          </cell>
          <cell r="D20">
            <v>2.09</v>
          </cell>
          <cell r="E20">
            <v>2.0499999999999998</v>
          </cell>
          <cell r="F20">
            <v>2.14</v>
          </cell>
          <cell r="G20">
            <v>2.16</v>
          </cell>
          <cell r="H20">
            <v>2.12</v>
          </cell>
          <cell r="I20">
            <v>2.77</v>
          </cell>
          <cell r="J20">
            <v>2.14</v>
          </cell>
        </row>
        <row r="21">
          <cell r="A21">
            <v>20</v>
          </cell>
          <cell r="B21" t="str">
            <v>Lạng Sơn</v>
          </cell>
          <cell r="C21">
            <v>2.34</v>
          </cell>
          <cell r="D21">
            <v>2.25</v>
          </cell>
          <cell r="E21">
            <v>2.2200000000000002</v>
          </cell>
          <cell r="F21">
            <v>2.13</v>
          </cell>
          <cell r="G21">
            <v>2.19</v>
          </cell>
          <cell r="H21">
            <v>2.3199999999999998</v>
          </cell>
          <cell r="I21">
            <v>2.4</v>
          </cell>
          <cell r="J21">
            <v>2.13</v>
          </cell>
        </row>
        <row r="22">
          <cell r="A22">
            <v>22</v>
          </cell>
          <cell r="B22" t="str">
            <v>Quảng Ninh</v>
          </cell>
          <cell r="C22">
            <v>2.02</v>
          </cell>
          <cell r="D22">
            <v>2.25</v>
          </cell>
          <cell r="E22">
            <v>2.2200000000000002</v>
          </cell>
          <cell r="F22">
            <v>2.2400000000000002</v>
          </cell>
          <cell r="G22">
            <v>2.2200000000000002</v>
          </cell>
          <cell r="H22">
            <v>2.14</v>
          </cell>
          <cell r="I22">
            <v>2.0699999999999998</v>
          </cell>
          <cell r="J22">
            <v>1.96</v>
          </cell>
        </row>
        <row r="23">
          <cell r="A23">
            <v>24</v>
          </cell>
          <cell r="B23" t="str">
            <v>Bắc Giang</v>
          </cell>
          <cell r="C23">
            <v>2.64</v>
          </cell>
          <cell r="D23">
            <v>2.73</v>
          </cell>
          <cell r="E23">
            <v>2.38</v>
          </cell>
          <cell r="F23">
            <v>2.31</v>
          </cell>
          <cell r="G23">
            <v>2.2999999999999998</v>
          </cell>
          <cell r="H23">
            <v>2.3199999999999998</v>
          </cell>
          <cell r="I23">
            <v>2.3199999999999998</v>
          </cell>
          <cell r="J23">
            <v>2.2200000000000002</v>
          </cell>
        </row>
        <row r="24">
          <cell r="A24">
            <v>25</v>
          </cell>
          <cell r="B24" t="str">
            <v>Phú Thọ</v>
          </cell>
          <cell r="C24">
            <v>2.56</v>
          </cell>
          <cell r="D24">
            <v>2.5099999999999998</v>
          </cell>
          <cell r="E24">
            <v>2.66</v>
          </cell>
          <cell r="F24">
            <v>2.57</v>
          </cell>
          <cell r="G24">
            <v>2.5299999999999998</v>
          </cell>
          <cell r="H24">
            <v>2.42</v>
          </cell>
          <cell r="I24">
            <v>2.48</v>
          </cell>
          <cell r="J24">
            <v>2.2599999999999998</v>
          </cell>
        </row>
        <row r="25">
          <cell r="A25">
            <v>26</v>
          </cell>
          <cell r="B25" t="str">
            <v>Vĩnh Phúc</v>
          </cell>
          <cell r="C25">
            <v>2.48</v>
          </cell>
          <cell r="D25">
            <v>2.34</v>
          </cell>
          <cell r="E25">
            <v>2.48</v>
          </cell>
          <cell r="F25">
            <v>2.39</v>
          </cell>
          <cell r="G25">
            <v>2.39</v>
          </cell>
          <cell r="H25">
            <v>2.37</v>
          </cell>
          <cell r="I25">
            <v>2.58</v>
          </cell>
          <cell r="J25">
            <v>2.23</v>
          </cell>
        </row>
        <row r="26">
          <cell r="A26">
            <v>27</v>
          </cell>
          <cell r="B26" t="str">
            <v>Bắc Ninh</v>
          </cell>
          <cell r="C26">
            <v>2.63</v>
          </cell>
          <cell r="D26">
            <v>2.67</v>
          </cell>
          <cell r="E26">
            <v>2.66</v>
          </cell>
          <cell r="F26">
            <v>2.5299999999999998</v>
          </cell>
          <cell r="G26">
            <v>2.4900000000000002</v>
          </cell>
          <cell r="H26">
            <v>2.6</v>
          </cell>
          <cell r="I26">
            <v>2.2000000000000002</v>
          </cell>
          <cell r="J26">
            <v>2.2999999999999998</v>
          </cell>
        </row>
        <row r="27">
          <cell r="A27">
            <v>30</v>
          </cell>
          <cell r="B27" t="str">
            <v>Hải Dương</v>
          </cell>
          <cell r="C27">
            <v>2.2999999999999998</v>
          </cell>
          <cell r="D27">
            <v>1.95</v>
          </cell>
          <cell r="E27">
            <v>2.59</v>
          </cell>
          <cell r="F27">
            <v>2.48</v>
          </cell>
          <cell r="G27">
            <v>2.57</v>
          </cell>
          <cell r="H27">
            <v>2.44</v>
          </cell>
          <cell r="I27">
            <v>2.14</v>
          </cell>
          <cell r="J27">
            <v>2.2599999999999998</v>
          </cell>
        </row>
        <row r="28">
          <cell r="A28">
            <v>31</v>
          </cell>
          <cell r="B28" t="str">
            <v>Hải Phòng</v>
          </cell>
          <cell r="C28">
            <v>2.11</v>
          </cell>
          <cell r="D28">
            <v>1.99</v>
          </cell>
          <cell r="E28">
            <v>1.92</v>
          </cell>
          <cell r="F28">
            <v>2.2000000000000002</v>
          </cell>
          <cell r="G28">
            <v>2.0499999999999998</v>
          </cell>
          <cell r="H28">
            <v>2.35</v>
          </cell>
          <cell r="I28">
            <v>2.35</v>
          </cell>
          <cell r="J28">
            <v>2.19</v>
          </cell>
        </row>
        <row r="29">
          <cell r="A29">
            <v>33</v>
          </cell>
          <cell r="B29" t="str">
            <v>Hưng Yên</v>
          </cell>
          <cell r="C29">
            <v>2.37</v>
          </cell>
          <cell r="D29">
            <v>2.1</v>
          </cell>
          <cell r="E29">
            <v>2.39</v>
          </cell>
          <cell r="F29">
            <v>2.4</v>
          </cell>
          <cell r="G29">
            <v>2.4</v>
          </cell>
          <cell r="H29">
            <v>2.4300000000000002</v>
          </cell>
          <cell r="I29">
            <v>2.44</v>
          </cell>
          <cell r="J29">
            <v>2.48</v>
          </cell>
        </row>
        <row r="30">
          <cell r="A30">
            <v>34</v>
          </cell>
          <cell r="B30" t="str">
            <v>Thái Bình</v>
          </cell>
          <cell r="C30">
            <v>2.25</v>
          </cell>
          <cell r="D30">
            <v>2.21</v>
          </cell>
          <cell r="E30">
            <v>2.5099999999999998</v>
          </cell>
          <cell r="F30">
            <v>2.4300000000000002</v>
          </cell>
          <cell r="G30">
            <v>2.42</v>
          </cell>
          <cell r="H30">
            <v>2.58</v>
          </cell>
          <cell r="I30">
            <v>2.74</v>
          </cell>
          <cell r="J30">
            <v>2.23</v>
          </cell>
        </row>
        <row r="31">
          <cell r="A31">
            <v>35</v>
          </cell>
          <cell r="B31" t="str">
            <v>Hà Nam</v>
          </cell>
          <cell r="C31">
            <v>2.11</v>
          </cell>
          <cell r="D31">
            <v>1.97</v>
          </cell>
          <cell r="E31">
            <v>2.39</v>
          </cell>
          <cell r="F31">
            <v>2.44</v>
          </cell>
          <cell r="G31">
            <v>2.36</v>
          </cell>
          <cell r="H31">
            <v>2.35</v>
          </cell>
          <cell r="I31">
            <v>2.63</v>
          </cell>
          <cell r="J31">
            <v>2.2599999999999998</v>
          </cell>
        </row>
        <row r="32">
          <cell r="A32">
            <v>36</v>
          </cell>
          <cell r="B32" t="str">
            <v>Nam Định</v>
          </cell>
          <cell r="C32">
            <v>2.46</v>
          </cell>
          <cell r="D32">
            <v>2.58</v>
          </cell>
          <cell r="E32">
            <v>2.82</v>
          </cell>
          <cell r="F32">
            <v>2.74</v>
          </cell>
          <cell r="G32">
            <v>2.71</v>
          </cell>
          <cell r="H32">
            <v>2.75</v>
          </cell>
          <cell r="I32">
            <v>2.34</v>
          </cell>
          <cell r="J32">
            <v>2.56</v>
          </cell>
        </row>
        <row r="33">
          <cell r="A33">
            <v>37</v>
          </cell>
          <cell r="B33" t="str">
            <v>Ninh Bình</v>
          </cell>
          <cell r="C33">
            <v>2.94</v>
          </cell>
          <cell r="D33">
            <v>2.39</v>
          </cell>
          <cell r="E33">
            <v>2.5299999999999998</v>
          </cell>
          <cell r="F33">
            <v>2.46</v>
          </cell>
          <cell r="G33">
            <v>2.42</v>
          </cell>
          <cell r="H33">
            <v>2.41</v>
          </cell>
          <cell r="I33">
            <v>2.16</v>
          </cell>
          <cell r="J33">
            <v>2.2000000000000002</v>
          </cell>
        </row>
        <row r="34">
          <cell r="A34">
            <v>38</v>
          </cell>
          <cell r="B34" t="str">
            <v>Thanh Hoá</v>
          </cell>
          <cell r="C34">
            <v>2.7</v>
          </cell>
          <cell r="D34">
            <v>2.4500000000000002</v>
          </cell>
          <cell r="E34">
            <v>2.69</v>
          </cell>
          <cell r="F34">
            <v>2.54</v>
          </cell>
          <cell r="G34">
            <v>2.5099999999999998</v>
          </cell>
          <cell r="H34">
            <v>2.2200000000000002</v>
          </cell>
          <cell r="I34">
            <v>2.33</v>
          </cell>
          <cell r="J34">
            <v>2.2400000000000002</v>
          </cell>
        </row>
        <row r="35">
          <cell r="A35">
            <v>40</v>
          </cell>
          <cell r="B35" t="str">
            <v>Nghệ An</v>
          </cell>
          <cell r="C35">
            <v>2.76</v>
          </cell>
          <cell r="D35">
            <v>2.87</v>
          </cell>
          <cell r="E35">
            <v>2.82</v>
          </cell>
          <cell r="F35">
            <v>2.75</v>
          </cell>
          <cell r="G35">
            <v>2.68</v>
          </cell>
          <cell r="H35">
            <v>2.63</v>
          </cell>
          <cell r="I35">
            <v>2.61</v>
          </cell>
          <cell r="J35">
            <v>2.4</v>
          </cell>
        </row>
        <row r="36">
          <cell r="A36">
            <v>42</v>
          </cell>
          <cell r="B36" t="str">
            <v>Hà Tĩnh</v>
          </cell>
          <cell r="C36">
            <v>3.21</v>
          </cell>
          <cell r="D36">
            <v>3.24</v>
          </cell>
          <cell r="E36">
            <v>2.9</v>
          </cell>
          <cell r="F36">
            <v>2.83</v>
          </cell>
          <cell r="G36">
            <v>2.73</v>
          </cell>
          <cell r="H36">
            <v>2.95</v>
          </cell>
          <cell r="I36">
            <v>2.87</v>
          </cell>
          <cell r="J36">
            <v>2.72</v>
          </cell>
        </row>
        <row r="37">
          <cell r="A37">
            <v>44</v>
          </cell>
          <cell r="B37" t="str">
            <v>Quảng Bình</v>
          </cell>
          <cell r="C37">
            <v>2.38</v>
          </cell>
          <cell r="D37">
            <v>2.34</v>
          </cell>
          <cell r="E37">
            <v>2.41</v>
          </cell>
          <cell r="F37">
            <v>2.4300000000000002</v>
          </cell>
          <cell r="G37">
            <v>2.4</v>
          </cell>
          <cell r="H37">
            <v>2.52</v>
          </cell>
          <cell r="I37">
            <v>2.2400000000000002</v>
          </cell>
          <cell r="J37">
            <v>2.79</v>
          </cell>
        </row>
        <row r="38">
          <cell r="A38">
            <v>45</v>
          </cell>
          <cell r="B38" t="str">
            <v>Quảng Trị</v>
          </cell>
          <cell r="C38">
            <v>3.19</v>
          </cell>
          <cell r="D38">
            <v>2.83</v>
          </cell>
          <cell r="E38">
            <v>2.61</v>
          </cell>
          <cell r="F38">
            <v>2.4500000000000002</v>
          </cell>
          <cell r="G38">
            <v>2.44</v>
          </cell>
          <cell r="H38">
            <v>2.46</v>
          </cell>
          <cell r="I38">
            <v>2.4500000000000002</v>
          </cell>
          <cell r="J38">
            <v>2.3199999999999998</v>
          </cell>
        </row>
        <row r="39">
          <cell r="A39">
            <v>46</v>
          </cell>
          <cell r="B39" t="str">
            <v>Thừa Thiên Huế</v>
          </cell>
          <cell r="C39">
            <v>2.2000000000000002</v>
          </cell>
          <cell r="D39">
            <v>2.33</v>
          </cell>
          <cell r="E39">
            <v>2.0299999999999998</v>
          </cell>
          <cell r="F39">
            <v>2.34</v>
          </cell>
          <cell r="G39">
            <v>2.29</v>
          </cell>
          <cell r="H39">
            <v>2.25</v>
          </cell>
          <cell r="I39">
            <v>2.38</v>
          </cell>
          <cell r="J39">
            <v>2.2200000000000002</v>
          </cell>
        </row>
        <row r="40">
          <cell r="A40">
            <v>48</v>
          </cell>
          <cell r="B40" t="str">
            <v>Đà Nẵng</v>
          </cell>
          <cell r="C40">
            <v>2.2400000000000002</v>
          </cell>
          <cell r="D40">
            <v>1.81</v>
          </cell>
          <cell r="E40">
            <v>1.49</v>
          </cell>
          <cell r="F40">
            <v>1.88</v>
          </cell>
          <cell r="G40">
            <v>2.09</v>
          </cell>
          <cell r="H40">
            <v>2.02</v>
          </cell>
          <cell r="I40">
            <v>2.02</v>
          </cell>
          <cell r="J40">
            <v>2.0299999999999998</v>
          </cell>
        </row>
        <row r="41">
          <cell r="A41">
            <v>49</v>
          </cell>
          <cell r="B41" t="str">
            <v>Quảng Nam</v>
          </cell>
          <cell r="C41">
            <v>2.16</v>
          </cell>
          <cell r="D41">
            <v>2.2599999999999998</v>
          </cell>
          <cell r="E41">
            <v>2.2799999999999998</v>
          </cell>
          <cell r="F41">
            <v>2.27</v>
          </cell>
          <cell r="G41">
            <v>2.23</v>
          </cell>
          <cell r="H41">
            <v>2.25</v>
          </cell>
          <cell r="I41">
            <v>2.09</v>
          </cell>
          <cell r="J41">
            <v>2.08</v>
          </cell>
        </row>
        <row r="42">
          <cell r="A42">
            <v>51</v>
          </cell>
          <cell r="B42" t="str">
            <v>Quảng Ngãi</v>
          </cell>
          <cell r="C42">
            <v>1.98</v>
          </cell>
          <cell r="D42">
            <v>1.79</v>
          </cell>
          <cell r="E42">
            <v>2.06</v>
          </cell>
          <cell r="F42">
            <v>2.13</v>
          </cell>
          <cell r="G42">
            <v>2.11</v>
          </cell>
          <cell r="H42">
            <v>2.14</v>
          </cell>
          <cell r="I42">
            <v>2.2999999999999998</v>
          </cell>
          <cell r="J42">
            <v>2.11</v>
          </cell>
        </row>
        <row r="43">
          <cell r="A43">
            <v>52</v>
          </cell>
          <cell r="B43" t="str">
            <v>Bình Định</v>
          </cell>
          <cell r="C43">
            <v>2</v>
          </cell>
          <cell r="D43">
            <v>2.09</v>
          </cell>
          <cell r="E43">
            <v>2.2999999999999998</v>
          </cell>
          <cell r="F43">
            <v>2.2000000000000002</v>
          </cell>
          <cell r="G43">
            <v>2.2400000000000002</v>
          </cell>
          <cell r="H43">
            <v>2.2200000000000002</v>
          </cell>
          <cell r="I43">
            <v>2.02</v>
          </cell>
          <cell r="J43">
            <v>1.97</v>
          </cell>
        </row>
        <row r="44">
          <cell r="A44">
            <v>54</v>
          </cell>
          <cell r="B44" t="str">
            <v>Phú Yên</v>
          </cell>
          <cell r="C44">
            <v>2.2599999999999998</v>
          </cell>
          <cell r="D44">
            <v>2.04</v>
          </cell>
          <cell r="E44">
            <v>2.16</v>
          </cell>
          <cell r="F44">
            <v>2.11</v>
          </cell>
          <cell r="G44">
            <v>2.09</v>
          </cell>
          <cell r="H44">
            <v>2.0699999999999998</v>
          </cell>
          <cell r="I44">
            <v>2.2200000000000002</v>
          </cell>
          <cell r="J44">
            <v>2.12</v>
          </cell>
        </row>
        <row r="45">
          <cell r="A45">
            <v>56</v>
          </cell>
          <cell r="B45" t="str">
            <v>Khánh Hoà</v>
          </cell>
          <cell r="C45">
            <v>1.75</v>
          </cell>
          <cell r="D45">
            <v>1.64</v>
          </cell>
          <cell r="E45">
            <v>1.4</v>
          </cell>
          <cell r="F45">
            <v>1.77</v>
          </cell>
          <cell r="G45">
            <v>1.81</v>
          </cell>
          <cell r="H45">
            <v>1.82</v>
          </cell>
          <cell r="I45">
            <v>1.88</v>
          </cell>
          <cell r="J45">
            <v>1.69</v>
          </cell>
        </row>
        <row r="46">
          <cell r="A46">
            <v>58</v>
          </cell>
          <cell r="B46" t="str">
            <v>Ninh Thuận</v>
          </cell>
          <cell r="C46">
            <v>2.2799999999999998</v>
          </cell>
          <cell r="D46">
            <v>2.34</v>
          </cell>
          <cell r="E46">
            <v>2.0499999999999998</v>
          </cell>
          <cell r="F46">
            <v>2.09</v>
          </cell>
          <cell r="G46">
            <v>2.0699999999999998</v>
          </cell>
          <cell r="H46">
            <v>2.36</v>
          </cell>
          <cell r="I46">
            <v>2.29</v>
          </cell>
          <cell r="J46">
            <v>2.2200000000000002</v>
          </cell>
        </row>
        <row r="47">
          <cell r="A47">
            <v>60</v>
          </cell>
          <cell r="B47" t="str">
            <v>Bình Thuận</v>
          </cell>
          <cell r="C47">
            <v>1.81</v>
          </cell>
          <cell r="D47">
            <v>1.75</v>
          </cell>
          <cell r="E47">
            <v>1.82</v>
          </cell>
          <cell r="F47">
            <v>1.91</v>
          </cell>
          <cell r="G47">
            <v>1.96</v>
          </cell>
          <cell r="H47">
            <v>2.06</v>
          </cell>
          <cell r="I47">
            <v>1.97</v>
          </cell>
          <cell r="J47">
            <v>2.0099999999999998</v>
          </cell>
        </row>
        <row r="48">
          <cell r="A48">
            <v>62</v>
          </cell>
          <cell r="B48" t="str">
            <v>Kon Tum</v>
          </cell>
          <cell r="C48">
            <v>2.34</v>
          </cell>
          <cell r="D48">
            <v>2.48</v>
          </cell>
          <cell r="E48">
            <v>2.12</v>
          </cell>
          <cell r="F48">
            <v>2.74</v>
          </cell>
          <cell r="G48">
            <v>2.64</v>
          </cell>
          <cell r="H48">
            <v>2.5499999999999998</v>
          </cell>
          <cell r="I48">
            <v>2.48</v>
          </cell>
          <cell r="J48">
            <v>2.2799999999999998</v>
          </cell>
        </row>
        <row r="49">
          <cell r="A49">
            <v>64</v>
          </cell>
          <cell r="B49" t="str">
            <v>Gia Lai</v>
          </cell>
          <cell r="C49">
            <v>2.38</v>
          </cell>
          <cell r="D49">
            <v>2.36</v>
          </cell>
          <cell r="E49">
            <v>2.27</v>
          </cell>
          <cell r="F49">
            <v>2.4900000000000002</v>
          </cell>
          <cell r="G49">
            <v>2.4700000000000002</v>
          </cell>
          <cell r="H49">
            <v>2.44</v>
          </cell>
          <cell r="I49">
            <v>2.31</v>
          </cell>
          <cell r="J49">
            <v>2.38</v>
          </cell>
        </row>
        <row r="50">
          <cell r="A50">
            <v>66</v>
          </cell>
          <cell r="B50" t="str">
            <v>Đắk Lắk</v>
          </cell>
          <cell r="C50">
            <v>2.4300000000000002</v>
          </cell>
          <cell r="D50">
            <v>2.19</v>
          </cell>
          <cell r="E50">
            <v>2.41</v>
          </cell>
          <cell r="F50">
            <v>2.37</v>
          </cell>
          <cell r="G50">
            <v>2.36</v>
          </cell>
          <cell r="H50">
            <v>2.15</v>
          </cell>
          <cell r="I50">
            <v>2.1</v>
          </cell>
          <cell r="J50">
            <v>2.19</v>
          </cell>
        </row>
        <row r="51">
          <cell r="A51">
            <v>67</v>
          </cell>
          <cell r="B51" t="str">
            <v>Đắk Nông</v>
          </cell>
          <cell r="C51">
            <v>2.2799999999999998</v>
          </cell>
          <cell r="D51">
            <v>2.21</v>
          </cell>
          <cell r="E51">
            <v>3.05</v>
          </cell>
          <cell r="F51">
            <v>2.68</v>
          </cell>
          <cell r="G51">
            <v>2.61</v>
          </cell>
          <cell r="H51">
            <v>2.68</v>
          </cell>
          <cell r="I51">
            <v>2.54</v>
          </cell>
          <cell r="J51">
            <v>2.5099999999999998</v>
          </cell>
        </row>
        <row r="52">
          <cell r="A52">
            <v>68</v>
          </cell>
          <cell r="B52" t="str">
            <v>Lâm Đồng</v>
          </cell>
          <cell r="C52">
            <v>2.34</v>
          </cell>
          <cell r="D52">
            <v>2.29</v>
          </cell>
          <cell r="E52">
            <v>1.99</v>
          </cell>
          <cell r="F52">
            <v>2.2000000000000002</v>
          </cell>
          <cell r="G52">
            <v>2.19</v>
          </cell>
          <cell r="H52">
            <v>2.15</v>
          </cell>
          <cell r="I52">
            <v>2.06</v>
          </cell>
          <cell r="J52">
            <v>2.0299999999999998</v>
          </cell>
        </row>
        <row r="53">
          <cell r="A53">
            <v>70</v>
          </cell>
          <cell r="B53" t="str">
            <v>Bình Phước</v>
          </cell>
          <cell r="C53">
            <v>1.92</v>
          </cell>
          <cell r="D53">
            <v>2.02</v>
          </cell>
          <cell r="E53">
            <v>1.99</v>
          </cell>
          <cell r="F53">
            <v>2.27</v>
          </cell>
          <cell r="G53">
            <v>2.25</v>
          </cell>
          <cell r="H53">
            <v>2.21</v>
          </cell>
          <cell r="I53">
            <v>2.29</v>
          </cell>
          <cell r="J53">
            <v>2.17</v>
          </cell>
        </row>
        <row r="54">
          <cell r="A54">
            <v>72</v>
          </cell>
          <cell r="B54" t="str">
            <v>Tây Ninh</v>
          </cell>
          <cell r="C54">
            <v>1.76</v>
          </cell>
          <cell r="D54">
            <v>1.66</v>
          </cell>
          <cell r="E54">
            <v>1.46</v>
          </cell>
          <cell r="F54">
            <v>1.53</v>
          </cell>
          <cell r="G54">
            <v>1.67</v>
          </cell>
          <cell r="H54">
            <v>1.65</v>
          </cell>
          <cell r="I54">
            <v>1.8</v>
          </cell>
          <cell r="J54">
            <v>1.5</v>
          </cell>
        </row>
        <row r="55">
          <cell r="A55">
            <v>74</v>
          </cell>
          <cell r="B55" t="str">
            <v>Bình Dương</v>
          </cell>
          <cell r="C55">
            <v>1.61</v>
          </cell>
          <cell r="D55">
            <v>1.9</v>
          </cell>
          <cell r="E55">
            <v>1.53</v>
          </cell>
          <cell r="F55">
            <v>1.54</v>
          </cell>
          <cell r="G55">
            <v>1.63</v>
          </cell>
          <cell r="H55">
            <v>1.62</v>
          </cell>
          <cell r="I55">
            <v>1.45</v>
          </cell>
          <cell r="J55">
            <v>1.63</v>
          </cell>
        </row>
        <row r="56">
          <cell r="A56">
            <v>75</v>
          </cell>
          <cell r="B56" t="str">
            <v>Đồng Nai</v>
          </cell>
          <cell r="C56">
            <v>1.67</v>
          </cell>
          <cell r="D56">
            <v>1.61</v>
          </cell>
          <cell r="E56">
            <v>1.8</v>
          </cell>
          <cell r="F56">
            <v>1.9</v>
          </cell>
          <cell r="G56">
            <v>1.97</v>
          </cell>
          <cell r="H56">
            <v>1.86</v>
          </cell>
          <cell r="I56">
            <v>1.87</v>
          </cell>
          <cell r="J56">
            <v>1.52</v>
          </cell>
        </row>
        <row r="57">
          <cell r="A57">
            <v>77</v>
          </cell>
          <cell r="B57" t="str">
            <v>Bà Rịa-Vũng Tàu(***)</v>
          </cell>
          <cell r="C57">
            <v>1.52</v>
          </cell>
          <cell r="D57">
            <v>1.37</v>
          </cell>
          <cell r="E57">
            <v>1.51</v>
          </cell>
          <cell r="F57">
            <v>1.87</v>
          </cell>
          <cell r="G57">
            <v>1.94</v>
          </cell>
          <cell r="H57">
            <v>1.78</v>
          </cell>
          <cell r="I57">
            <v>1.91</v>
          </cell>
          <cell r="J57">
            <v>1.61</v>
          </cell>
        </row>
        <row r="58">
          <cell r="A58">
            <v>79</v>
          </cell>
          <cell r="B58" t="str">
            <v>TP Hồ Chí Minh</v>
          </cell>
          <cell r="C58">
            <v>1.24</v>
          </cell>
          <cell r="D58">
            <v>1.36</v>
          </cell>
          <cell r="E58">
            <v>1.33</v>
          </cell>
          <cell r="F58">
            <v>1.39</v>
          </cell>
          <cell r="G58">
            <v>1.53</v>
          </cell>
          <cell r="H58">
            <v>1.48</v>
          </cell>
          <cell r="I58">
            <v>1.39</v>
          </cell>
          <cell r="J58">
            <v>1.32</v>
          </cell>
        </row>
        <row r="59">
          <cell r="A59">
            <v>80</v>
          </cell>
          <cell r="B59" t="str">
            <v>Long An</v>
          </cell>
          <cell r="C59">
            <v>1.56</v>
          </cell>
          <cell r="D59">
            <v>1.62</v>
          </cell>
          <cell r="E59">
            <v>1.83</v>
          </cell>
          <cell r="F59">
            <v>1.8</v>
          </cell>
          <cell r="G59">
            <v>1.82</v>
          </cell>
          <cell r="H59">
            <v>1.77</v>
          </cell>
          <cell r="I59">
            <v>1.68</v>
          </cell>
          <cell r="J59">
            <v>1.64</v>
          </cell>
        </row>
        <row r="60">
          <cell r="A60">
            <v>82</v>
          </cell>
          <cell r="B60" t="str">
            <v>Tiền Giang</v>
          </cell>
          <cell r="C60">
            <v>2</v>
          </cell>
          <cell r="D60">
            <v>1.99</v>
          </cell>
          <cell r="E60">
            <v>1.68</v>
          </cell>
          <cell r="F60">
            <v>1.82</v>
          </cell>
          <cell r="G60">
            <v>1.85</v>
          </cell>
          <cell r="H60">
            <v>1.83</v>
          </cell>
          <cell r="I60">
            <v>1.72</v>
          </cell>
          <cell r="J60">
            <v>1.66</v>
          </cell>
        </row>
        <row r="61">
          <cell r="A61">
            <v>83</v>
          </cell>
          <cell r="B61" t="str">
            <v>Bến Tre</v>
          </cell>
          <cell r="C61">
            <v>1.9</v>
          </cell>
          <cell r="D61">
            <v>1.88</v>
          </cell>
          <cell r="E61">
            <v>1.88</v>
          </cell>
          <cell r="F61">
            <v>1.86</v>
          </cell>
          <cell r="G61">
            <v>1.87</v>
          </cell>
          <cell r="H61">
            <v>1.64</v>
          </cell>
          <cell r="I61">
            <v>1.62</v>
          </cell>
          <cell r="J61">
            <v>1.62</v>
          </cell>
        </row>
        <row r="62">
          <cell r="A62">
            <v>84</v>
          </cell>
          <cell r="B62" t="str">
            <v>Trà Vinh</v>
          </cell>
          <cell r="C62">
            <v>2.36</v>
          </cell>
          <cell r="D62">
            <v>2.25</v>
          </cell>
          <cell r="E62">
            <v>1.94</v>
          </cell>
          <cell r="F62">
            <v>1.96</v>
          </cell>
          <cell r="G62">
            <v>2</v>
          </cell>
          <cell r="H62">
            <v>1.99</v>
          </cell>
          <cell r="I62">
            <v>1.68</v>
          </cell>
          <cell r="J62">
            <v>1.77</v>
          </cell>
        </row>
        <row r="63">
          <cell r="A63">
            <v>86</v>
          </cell>
          <cell r="B63" t="str">
            <v>Vĩnh Long</v>
          </cell>
          <cell r="C63">
            <v>2.0299999999999998</v>
          </cell>
          <cell r="D63">
            <v>1.67</v>
          </cell>
          <cell r="E63">
            <v>1.83</v>
          </cell>
          <cell r="F63">
            <v>1.81</v>
          </cell>
          <cell r="G63">
            <v>1.82</v>
          </cell>
          <cell r="H63">
            <v>1.81</v>
          </cell>
          <cell r="I63">
            <v>1.62</v>
          </cell>
          <cell r="J63">
            <v>1.67</v>
          </cell>
        </row>
        <row r="64">
          <cell r="A64">
            <v>87</v>
          </cell>
          <cell r="B64" t="str">
            <v>Đồng Tháp</v>
          </cell>
          <cell r="C64">
            <v>1.59</v>
          </cell>
          <cell r="D64">
            <v>1.34</v>
          </cell>
          <cell r="E64">
            <v>1.43</v>
          </cell>
          <cell r="F64">
            <v>1.78</v>
          </cell>
          <cell r="G64">
            <v>1.87</v>
          </cell>
          <cell r="H64">
            <v>1.85</v>
          </cell>
          <cell r="I64">
            <v>1.64</v>
          </cell>
          <cell r="J64">
            <v>1.83</v>
          </cell>
        </row>
        <row r="65">
          <cell r="A65">
            <v>89</v>
          </cell>
          <cell r="B65" t="str">
            <v>An Giang</v>
          </cell>
          <cell r="C65">
            <v>1.84</v>
          </cell>
          <cell r="D65">
            <v>1.77</v>
          </cell>
          <cell r="E65">
            <v>1.78</v>
          </cell>
          <cell r="F65">
            <v>1.85</v>
          </cell>
          <cell r="G65">
            <v>1.9</v>
          </cell>
          <cell r="H65">
            <v>1.94</v>
          </cell>
          <cell r="I65">
            <v>1.85</v>
          </cell>
          <cell r="J65">
            <v>1.81</v>
          </cell>
        </row>
        <row r="66">
          <cell r="A66">
            <v>91</v>
          </cell>
          <cell r="B66" t="str">
            <v>Kiên Giang</v>
          </cell>
          <cell r="C66">
            <v>1.94</v>
          </cell>
          <cell r="D66">
            <v>1.87</v>
          </cell>
          <cell r="E66">
            <v>1.96</v>
          </cell>
          <cell r="F66">
            <v>1.85</v>
          </cell>
          <cell r="G66">
            <v>1.98</v>
          </cell>
          <cell r="H66">
            <v>1.91</v>
          </cell>
          <cell r="I66">
            <v>1.83</v>
          </cell>
          <cell r="J66">
            <v>1.74</v>
          </cell>
        </row>
        <row r="67">
          <cell r="A67">
            <v>92</v>
          </cell>
          <cell r="B67" t="str">
            <v>Cần Thơ</v>
          </cell>
          <cell r="C67">
            <v>2.0099999999999998</v>
          </cell>
          <cell r="D67">
            <v>1.64</v>
          </cell>
          <cell r="E67">
            <v>1.66</v>
          </cell>
          <cell r="F67">
            <v>1.66</v>
          </cell>
          <cell r="G67">
            <v>1.74</v>
          </cell>
          <cell r="H67">
            <v>1.68</v>
          </cell>
          <cell r="I67">
            <v>1.73</v>
          </cell>
          <cell r="J67">
            <v>1.44</v>
          </cell>
        </row>
        <row r="68">
          <cell r="A68">
            <v>93</v>
          </cell>
          <cell r="B68" t="str">
            <v>Hậu Giang</v>
          </cell>
          <cell r="C68">
            <v>1.48</v>
          </cell>
          <cell r="D68">
            <v>1.53</v>
          </cell>
          <cell r="E68">
            <v>1.64</v>
          </cell>
          <cell r="F68">
            <v>1.83</v>
          </cell>
          <cell r="G68">
            <v>1.84</v>
          </cell>
          <cell r="H68">
            <v>1.83</v>
          </cell>
          <cell r="I68">
            <v>1.51</v>
          </cell>
          <cell r="J68">
            <v>1.52</v>
          </cell>
        </row>
        <row r="69">
          <cell r="A69">
            <v>94</v>
          </cell>
          <cell r="B69" t="str">
            <v>Sóc Trăng</v>
          </cell>
          <cell r="C69">
            <v>1.83</v>
          </cell>
          <cell r="D69">
            <v>1.69</v>
          </cell>
          <cell r="E69">
            <v>1.75</v>
          </cell>
          <cell r="F69">
            <v>1.79</v>
          </cell>
          <cell r="G69">
            <v>1.8</v>
          </cell>
          <cell r="H69">
            <v>1.78</v>
          </cell>
          <cell r="I69">
            <v>1.73</v>
          </cell>
          <cell r="J69">
            <v>1.77</v>
          </cell>
        </row>
        <row r="70">
          <cell r="A70">
            <v>95</v>
          </cell>
          <cell r="B70" t="str">
            <v>Bạc Liêu</v>
          </cell>
          <cell r="C70">
            <v>1.63</v>
          </cell>
          <cell r="D70">
            <v>1.77</v>
          </cell>
          <cell r="E70">
            <v>1.54</v>
          </cell>
          <cell r="F70">
            <v>1.61</v>
          </cell>
          <cell r="G70">
            <v>1.66</v>
          </cell>
          <cell r="H70">
            <v>1.56</v>
          </cell>
          <cell r="I70">
            <v>1.46</v>
          </cell>
          <cell r="J70">
            <v>1.53</v>
          </cell>
        </row>
        <row r="71">
          <cell r="A71">
            <v>96</v>
          </cell>
          <cell r="B71" t="str">
            <v>Cà Mau</v>
          </cell>
          <cell r="C71">
            <v>1.85</v>
          </cell>
          <cell r="D71">
            <v>1.65</v>
          </cell>
          <cell r="E71">
            <v>1.75</v>
          </cell>
          <cell r="F71">
            <v>1.8</v>
          </cell>
          <cell r="G71">
            <v>1.85</v>
          </cell>
          <cell r="H71">
            <v>1.86</v>
          </cell>
          <cell r="I71">
            <v>1.81</v>
          </cell>
          <cell r="J71">
            <v>1.55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3383-4D92-4562-B12A-94D6388402A7}">
  <dimension ref="A1:Z96"/>
  <sheetViews>
    <sheetView tabSelected="1" zoomScale="85" zoomScaleNormal="85" workbookViewId="0">
      <selection activeCell="O14" sqref="O14:P14"/>
    </sheetView>
  </sheetViews>
  <sheetFormatPr defaultRowHeight="14.4" x14ac:dyDescent="0.3"/>
  <cols>
    <col min="1" max="1" width="7.88671875" customWidth="1"/>
    <col min="2" max="2" width="27.5546875" customWidth="1"/>
    <col min="3" max="3" width="13.5546875" customWidth="1"/>
    <col min="4" max="4" width="14.109375" bestFit="1" customWidth="1"/>
    <col min="5" max="11" width="11.5546875" bestFit="1" customWidth="1"/>
    <col min="15" max="15" width="10.21875" bestFit="1" customWidth="1"/>
    <col min="18" max="23" width="0" hidden="1" customWidth="1"/>
    <col min="25" max="25" width="15" customWidth="1"/>
    <col min="26" max="26" width="16" customWidth="1"/>
  </cols>
  <sheetData>
    <row r="1" spans="1:26" x14ac:dyDescent="0.3">
      <c r="A1" s="2" t="s">
        <v>0</v>
      </c>
      <c r="B1" s="2" t="s">
        <v>1</v>
      </c>
      <c r="C1" s="13" t="s">
        <v>20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Y1" s="14" t="s">
        <v>60</v>
      </c>
      <c r="Z1" s="15" t="s">
        <v>61</v>
      </c>
    </row>
    <row r="2" spans="1:26" ht="15.6" x14ac:dyDescent="0.3">
      <c r="A2" s="12">
        <v>1</v>
      </c>
      <c r="B2" s="3" t="s">
        <v>2</v>
      </c>
      <c r="C2" s="3" t="s">
        <v>22</v>
      </c>
      <c r="D2" s="3">
        <f>VLOOKUP($P$2,[1]Worksheet!$A$9:$J$71,P3,FALSE)</f>
        <v>53.2</v>
      </c>
      <c r="E2" s="3">
        <f>VLOOKUP($P$2,[1]Worksheet!$A$9:$J$71,Q3,FALSE)</f>
        <v>56.2</v>
      </c>
      <c r="F2" s="3">
        <f>VLOOKUP($P$2,[1]Worksheet!$A$9:$J$71,R3,FALSE)</f>
        <v>62.8</v>
      </c>
      <c r="G2" s="3">
        <f>VLOOKUP($P$2,[1]Worksheet!$A$9:$J$71,S3,FALSE)</f>
        <v>57</v>
      </c>
      <c r="H2" s="3">
        <f>VLOOKUP($P$2,[1]Worksheet!$A$9:$J$71,T3,FALSE)</f>
        <v>62.1</v>
      </c>
      <c r="I2" s="3">
        <f>VLOOKUP($P$2,[1]Worksheet!$A$9:$J$71,U3,FALSE)</f>
        <v>63.2</v>
      </c>
      <c r="J2" s="3">
        <f>VLOOKUP($P$2,[1]Worksheet!$A$9:$J$71,V3,FALSE)</f>
        <v>67</v>
      </c>
      <c r="K2" s="3">
        <f>VLOOKUP($P$2,[1]Worksheet!$A$9:$J$71,W3,FALSE)</f>
        <v>73.400000000000006</v>
      </c>
      <c r="P2" s="18">
        <v>94</v>
      </c>
      <c r="Q2" s="20" t="str">
        <f>VLOOKUP($P$2,[2]Worksheet!$A$9:$J$71,2,FALSE)</f>
        <v>Sóc Trăng</v>
      </c>
      <c r="Y2" s="16" t="s">
        <v>62</v>
      </c>
      <c r="Z2" s="17"/>
    </row>
    <row r="3" spans="1:26" ht="15.6" x14ac:dyDescent="0.3">
      <c r="A3" s="12">
        <v>2</v>
      </c>
      <c r="B3" s="3" t="s">
        <v>4</v>
      </c>
      <c r="C3" s="3" t="s">
        <v>23</v>
      </c>
      <c r="D3" s="3">
        <f>VLOOKUP($P$2,[2]Worksheet!$A$9:$J$71,P3,FALSE)</f>
        <v>0.61</v>
      </c>
      <c r="E3" s="3">
        <f>VLOOKUP($P$2,[2]Worksheet!$A$9:$J$71,Q3,FALSE)</f>
        <v>0.63</v>
      </c>
      <c r="F3" s="3">
        <f>VLOOKUP($P$2,[2]Worksheet!$A$9:$J$71,R3,FALSE)</f>
        <v>0.64</v>
      </c>
      <c r="G3" s="3">
        <f>VLOOKUP($P$2,[2]Worksheet!$A$9:$J$71,S3,FALSE)</f>
        <v>0.64</v>
      </c>
      <c r="H3" s="3">
        <f>VLOOKUP($P$2,[2]Worksheet!$A$9:$J$71,T3,FALSE)</f>
        <v>0.65</v>
      </c>
      <c r="I3" s="3">
        <f>VLOOKUP($P$2,[2]Worksheet!$A$9:$J$71,U3,FALSE)</f>
        <v>0.65</v>
      </c>
      <c r="J3" s="3">
        <f>VLOOKUP($P$2,[2]Worksheet!$A$9:$J$71,V3,FALSE)</f>
        <v>0.67</v>
      </c>
      <c r="K3" s="3">
        <f>VLOOKUP($P$2,[2]Worksheet!$A$9:$J$71,W3,FALSE)</f>
        <v>0.67</v>
      </c>
      <c r="O3" t="s">
        <v>6</v>
      </c>
      <c r="P3">
        <v>3</v>
      </c>
      <c r="Q3">
        <f>P3+1</f>
        <v>4</v>
      </c>
      <c r="R3">
        <f t="shared" ref="R3:W3" si="0">Q3+1</f>
        <v>5</v>
      </c>
      <c r="S3">
        <f t="shared" si="0"/>
        <v>6</v>
      </c>
      <c r="T3">
        <f t="shared" si="0"/>
        <v>7</v>
      </c>
      <c r="U3">
        <f t="shared" si="0"/>
        <v>8</v>
      </c>
      <c r="V3">
        <f t="shared" si="0"/>
        <v>9</v>
      </c>
      <c r="W3">
        <f t="shared" si="0"/>
        <v>10</v>
      </c>
      <c r="Y3" s="22" t="s">
        <v>3</v>
      </c>
      <c r="Z3" s="23" t="s">
        <v>63</v>
      </c>
    </row>
    <row r="4" spans="1:26" ht="15.6" x14ac:dyDescent="0.3">
      <c r="A4" s="12">
        <v>3</v>
      </c>
      <c r="B4" s="21" t="s">
        <v>5</v>
      </c>
      <c r="C4" s="3" t="s">
        <v>24</v>
      </c>
      <c r="D4" s="5">
        <f>VLOOKUP($P$2,[3]Worksheet!$A$10:$R$72,P4,FALSE)</f>
        <v>155129</v>
      </c>
      <c r="E4" s="5">
        <f>VLOOKUP($P$2,[3]Worksheet!$A$10:$R$72,Q4,FALSE)</f>
        <v>154422</v>
      </c>
      <c r="F4" s="5">
        <f>VLOOKUP($P$2,[3]Worksheet!$A$10:$R$72,R4,FALSE)</f>
        <v>155388</v>
      </c>
      <c r="G4" s="5">
        <f>VLOOKUP($P$2,[3]Worksheet!$A$10:$R$72,S4,FALSE)</f>
        <v>147583</v>
      </c>
      <c r="H4" s="5">
        <f>VLOOKUP($P$2,[3]Worksheet!$A$10:$R$72,T4,FALSE)</f>
        <v>135534</v>
      </c>
      <c r="I4" s="5">
        <f>VLOOKUP($P$2,[3]Worksheet!$A$10:$R$72,U4,FALSE)</f>
        <v>139105</v>
      </c>
      <c r="J4" s="5">
        <f>VLOOKUP($P$2,[3]Worksheet!$A$10:$R$72,V4,FALSE)</f>
        <v>136647</v>
      </c>
      <c r="K4" s="5">
        <f>VLOOKUP($P$2,[3]Worksheet!$A$10:$R$72,W4,FALSE)</f>
        <v>135971</v>
      </c>
      <c r="N4" t="s">
        <v>15</v>
      </c>
      <c r="O4" t="s">
        <v>7</v>
      </c>
      <c r="P4">
        <v>3</v>
      </c>
      <c r="Q4">
        <f>P4+2</f>
        <v>5</v>
      </c>
      <c r="R4">
        <f t="shared" ref="R4:W5" si="1">Q4+2</f>
        <v>7</v>
      </c>
      <c r="S4">
        <f t="shared" si="1"/>
        <v>9</v>
      </c>
      <c r="T4">
        <f t="shared" si="1"/>
        <v>11</v>
      </c>
      <c r="U4">
        <f t="shared" si="1"/>
        <v>13</v>
      </c>
      <c r="V4">
        <f t="shared" si="1"/>
        <v>15</v>
      </c>
      <c r="W4">
        <f t="shared" si="1"/>
        <v>17</v>
      </c>
      <c r="Y4" s="22" t="s">
        <v>64</v>
      </c>
      <c r="Z4" s="23" t="s">
        <v>65</v>
      </c>
    </row>
    <row r="5" spans="1:26" ht="15.6" x14ac:dyDescent="0.3">
      <c r="A5" s="12">
        <v>4</v>
      </c>
      <c r="B5" s="21" t="s">
        <v>9</v>
      </c>
      <c r="C5" s="3" t="s">
        <v>24</v>
      </c>
      <c r="D5" s="5">
        <f>VLOOKUP($P$2,[3]Worksheet!$A$10:$R$72,P5,FALSE)</f>
        <v>153391</v>
      </c>
      <c r="E5" s="5">
        <f>VLOOKUP($P$2,[3]Worksheet!$A$10:$R$72,Q5,FALSE)</f>
        <v>148333</v>
      </c>
      <c r="F5" s="5">
        <f>VLOOKUP($P$2,[3]Worksheet!$A$10:$R$72,R5,FALSE)</f>
        <v>143726</v>
      </c>
      <c r="G5" s="5">
        <f>VLOOKUP($P$2,[3]Worksheet!$A$10:$R$72,S5,FALSE)</f>
        <v>139328</v>
      </c>
      <c r="H5" s="5">
        <f>VLOOKUP($P$2,[3]Worksheet!$A$10:$R$72,T5,FALSE)</f>
        <v>132011</v>
      </c>
      <c r="I5" s="5">
        <f>VLOOKUP($P$2,[3]Worksheet!$A$10:$R$72,U5,FALSE)</f>
        <v>132505</v>
      </c>
      <c r="J5" s="5">
        <f>VLOOKUP($P$2,[3]Worksheet!$A$10:$R$72,V5,FALSE)</f>
        <v>130873</v>
      </c>
      <c r="K5" s="5">
        <f>VLOOKUP($P$2,[3]Worksheet!$A$10:$R$72,W5,FALSE)</f>
        <v>129099</v>
      </c>
      <c r="N5" t="s">
        <v>16</v>
      </c>
      <c r="O5" t="s">
        <v>8</v>
      </c>
      <c r="P5">
        <v>4</v>
      </c>
      <c r="Q5">
        <f>P5+2</f>
        <v>6</v>
      </c>
      <c r="R5">
        <f t="shared" si="1"/>
        <v>8</v>
      </c>
      <c r="S5">
        <f t="shared" si="1"/>
        <v>10</v>
      </c>
      <c r="T5">
        <f t="shared" si="1"/>
        <v>12</v>
      </c>
      <c r="U5">
        <f t="shared" si="1"/>
        <v>14</v>
      </c>
      <c r="V5">
        <f t="shared" si="1"/>
        <v>16</v>
      </c>
      <c r="W5">
        <f t="shared" si="1"/>
        <v>18</v>
      </c>
      <c r="Y5" s="22" t="s">
        <v>59</v>
      </c>
      <c r="Z5" s="23" t="s">
        <v>66</v>
      </c>
    </row>
    <row r="6" spans="1:26" ht="15.6" x14ac:dyDescent="0.3">
      <c r="A6" s="12">
        <v>5</v>
      </c>
      <c r="B6" s="21" t="s">
        <v>10</v>
      </c>
      <c r="C6" s="3" t="s">
        <v>24</v>
      </c>
      <c r="D6" s="3">
        <f>VLOOKUP($P$2,[4]Worksheet!$A$9:$J$71,P3,FALSE)</f>
        <v>164242</v>
      </c>
      <c r="E6" s="3">
        <f>VLOOKUP($P$2,[4]Worksheet!$A$9:$J$71,Q3,FALSE)</f>
        <v>170268</v>
      </c>
      <c r="F6" s="3">
        <f>VLOOKUP($P$2,[4]Worksheet!$A$9:$J$71,R3,FALSE)</f>
        <v>187893</v>
      </c>
      <c r="G6" s="3">
        <f>VLOOKUP($P$2,[4]Worksheet!$A$9:$J$71,S3,FALSE)</f>
        <v>163447</v>
      </c>
      <c r="H6" s="3">
        <f>VLOOKUP($P$2,[4]Worksheet!$A$9:$J$71,T3,FALSE)</f>
        <v>166047</v>
      </c>
      <c r="I6" s="3">
        <f>VLOOKUP($P$2,[4]Worksheet!$A$9:$J$71,U3,FALSE)</f>
        <v>171648</v>
      </c>
      <c r="J6" s="3">
        <f>VLOOKUP($P$2,[4]Worksheet!$A$9:$J$71,V3,FALSE)</f>
        <v>179137</v>
      </c>
      <c r="K6" s="3">
        <f>VLOOKUP($P$2,[4]Worksheet!$A$9:$J$71,W3,FALSE)</f>
        <v>194598</v>
      </c>
      <c r="Y6" s="18">
        <v>6</v>
      </c>
      <c r="Z6" s="19" t="s">
        <v>67</v>
      </c>
    </row>
    <row r="7" spans="1:26" ht="15.6" x14ac:dyDescent="0.3">
      <c r="A7" s="12">
        <v>6</v>
      </c>
      <c r="B7" s="21" t="s">
        <v>11</v>
      </c>
      <c r="C7" s="3" t="s">
        <v>24</v>
      </c>
      <c r="D7" s="5">
        <f>VLOOKUP($P$2,[5]Worksheet!$A$10:$R$72,P4,FALSE)</f>
        <v>68875</v>
      </c>
      <c r="E7" s="5">
        <f>VLOOKUP($P$2,[5]Worksheet!$A$10:$R$72,Q4,FALSE)</f>
        <v>73667</v>
      </c>
      <c r="F7" s="5">
        <f>VLOOKUP($P$2,[5]Worksheet!$A$10:$R$72,R4,FALSE)</f>
        <v>81018</v>
      </c>
      <c r="G7" s="5">
        <f>VLOOKUP($P$2,[5]Worksheet!$A$10:$R$72,S4,FALSE)</f>
        <v>69157</v>
      </c>
      <c r="H7" s="5">
        <f>VLOOKUP($P$2,[5]Worksheet!$A$10:$R$72,T4,FALSE)</f>
        <v>70735</v>
      </c>
      <c r="I7" s="5">
        <f>VLOOKUP($P$2,[5]Worksheet!$A$10:$R$72,U4,FALSE)</f>
        <v>73676</v>
      </c>
      <c r="J7" s="5">
        <f>VLOOKUP($P$2,[5]Worksheet!$A$10:$R$72,V4,FALSE)</f>
        <v>75157</v>
      </c>
      <c r="K7" s="5">
        <f>VLOOKUP($P$2,[5]Worksheet!$A$10:$R$72,W4,FALSE)</f>
        <v>87838</v>
      </c>
      <c r="Y7" s="24" t="s">
        <v>68</v>
      </c>
      <c r="Z7" s="25" t="s">
        <v>69</v>
      </c>
    </row>
    <row r="8" spans="1:26" ht="15.6" x14ac:dyDescent="0.3">
      <c r="A8" s="12">
        <v>7</v>
      </c>
      <c r="B8" s="21" t="s">
        <v>13</v>
      </c>
      <c r="C8" s="3" t="s">
        <v>24</v>
      </c>
      <c r="D8" s="5">
        <f>VLOOKUP($P$2,[5]Worksheet!$A$10:$R$72,P5,FALSE)</f>
        <v>95367</v>
      </c>
      <c r="E8" s="5">
        <f>VLOOKUP($P$2,[5]Worksheet!$A$10:$R$72,Q5,FALSE)</f>
        <v>96601</v>
      </c>
      <c r="F8" s="5">
        <f>VLOOKUP($P$2,[5]Worksheet!$A$10:$R$72,R5,FALSE)</f>
        <v>106875</v>
      </c>
      <c r="G8" s="5">
        <f>VLOOKUP($P$2,[5]Worksheet!$A$10:$R$72,S5,FALSE)</f>
        <v>94290</v>
      </c>
      <c r="H8" s="5">
        <f>VLOOKUP($P$2,[5]Worksheet!$A$10:$R$72,T5,FALSE)</f>
        <v>95312</v>
      </c>
      <c r="I8" s="5">
        <f>VLOOKUP($P$2,[5]Worksheet!$A$10:$R$72,U5,FALSE)</f>
        <v>97972</v>
      </c>
      <c r="J8" s="5">
        <f>VLOOKUP($P$2,[5]Worksheet!$A$10:$R$72,V5,FALSE)</f>
        <v>103980</v>
      </c>
      <c r="K8" s="5">
        <f>VLOOKUP($P$2,[5]Worksheet!$A$10:$R$72,W5,FALSE)</f>
        <v>106760</v>
      </c>
      <c r="Y8" s="22">
        <v>10</v>
      </c>
      <c r="Z8" s="23" t="s">
        <v>70</v>
      </c>
    </row>
    <row r="9" spans="1:26" ht="15.6" x14ac:dyDescent="0.3">
      <c r="A9" s="12">
        <v>8</v>
      </c>
      <c r="B9" s="3" t="s">
        <v>12</v>
      </c>
      <c r="C9" s="3" t="s">
        <v>24</v>
      </c>
      <c r="D9" s="5">
        <f>VLOOKUP($P$2,[6]Worksheet!$A$10:$R$72,P4,FALSE)</f>
        <v>611359</v>
      </c>
      <c r="E9" s="5">
        <f>VLOOKUP($P$2,[6]Worksheet!$A$10:$R$72,Q4,FALSE)</f>
        <v>606920</v>
      </c>
      <c r="F9" s="5">
        <f>VLOOKUP($P$2,[6]Worksheet!$A$10:$R$72,R4,FALSE)</f>
        <v>602362</v>
      </c>
      <c r="G9" s="5">
        <f>VLOOKUP($P$2,[6]Worksheet!$A$10:$R$72,S4,FALSE)</f>
        <v>597901</v>
      </c>
      <c r="H9" s="5">
        <f>VLOOKUP($P$2,[6]Worksheet!$A$10:$R$72,T4,FALSE)</f>
        <v>595899</v>
      </c>
      <c r="I9" s="5">
        <f>VLOOKUP($P$2,[6]Worksheet!$A$10:$R$72,U4,FALSE)</f>
        <v>601419</v>
      </c>
      <c r="J9" s="5">
        <f>VLOOKUP($P$2,[6]Worksheet!$A$10:$R$72,V4,FALSE)</f>
        <v>606396</v>
      </c>
      <c r="K9" s="5">
        <f>VLOOKUP($P$2,[6]Worksheet!$A$10:$R$72,W4,FALSE)</f>
        <v>606910</v>
      </c>
      <c r="Y9" s="22">
        <v>11</v>
      </c>
      <c r="Z9" s="23" t="s">
        <v>71</v>
      </c>
    </row>
    <row r="10" spans="1:26" ht="15.6" x14ac:dyDescent="0.3">
      <c r="A10" s="12">
        <v>9</v>
      </c>
      <c r="B10" s="3" t="s">
        <v>14</v>
      </c>
      <c r="C10" s="3" t="s">
        <v>24</v>
      </c>
      <c r="D10" s="5">
        <f>VLOOKUP($P$2,[6]Worksheet!$A$10:$R$72,P5,FALSE)</f>
        <v>616217</v>
      </c>
      <c r="E10" s="5">
        <f>VLOOKUP($P$2,[6]Worksheet!$A$10:$R$72,Q5,FALSE)</f>
        <v>611395</v>
      </c>
      <c r="F10" s="5">
        <f>VLOOKUP($P$2,[6]Worksheet!$A$10:$R$72,R5,FALSE)</f>
        <v>606460</v>
      </c>
      <c r="G10" s="5">
        <f>VLOOKUP($P$2,[6]Worksheet!$A$10:$R$72,S5,FALSE)</f>
        <v>601627</v>
      </c>
      <c r="H10" s="5">
        <f>VLOOKUP($P$2,[6]Worksheet!$A$10:$R$72,T5,FALSE)</f>
        <v>599842</v>
      </c>
      <c r="I10" s="5">
        <f>VLOOKUP($P$2,[6]Worksheet!$A$10:$R$72,U5,FALSE)</f>
        <v>605399</v>
      </c>
      <c r="J10" s="5">
        <f>VLOOKUP($P$2,[6]Worksheet!$A$10:$R$72,V5,FALSE)</f>
        <v>591427</v>
      </c>
      <c r="K10" s="5">
        <f>VLOOKUP($P$2,[6]Worksheet!$A$10:$R$72,W5,FALSE)</f>
        <v>591889</v>
      </c>
      <c r="Y10" s="22">
        <v>12</v>
      </c>
      <c r="Z10" s="23" t="s">
        <v>72</v>
      </c>
    </row>
    <row r="11" spans="1:26" ht="15.6" x14ac:dyDescent="0.3">
      <c r="A11" s="12">
        <v>10</v>
      </c>
      <c r="B11" s="21" t="s">
        <v>17</v>
      </c>
      <c r="C11" s="3" t="s">
        <v>24</v>
      </c>
      <c r="D11" s="5">
        <f>VLOOKUP($P$2,[7]Worksheet!$A$10:$R$72,P4,FALSE)</f>
        <v>379272</v>
      </c>
      <c r="E11" s="5">
        <f>VLOOKUP($P$2,[7]Worksheet!$A$10:$R$72,Q4,FALSE)</f>
        <v>382478</v>
      </c>
      <c r="F11" s="5">
        <f>VLOOKUP($P$2,[7]Worksheet!$A$10:$R$72,R4,FALSE)</f>
        <v>385518</v>
      </c>
      <c r="G11" s="5">
        <f>VLOOKUP($P$2,[7]Worksheet!$A$10:$R$72,S4,FALSE)</f>
        <v>388527</v>
      </c>
      <c r="H11" s="5">
        <f>VLOOKUP($P$2,[7]Worksheet!$A$10:$R$72,T4,FALSE)</f>
        <v>386608</v>
      </c>
      <c r="I11" s="5">
        <f>VLOOKUP($P$2,[7]Worksheet!$A$10:$R$72,U4,FALSE)</f>
        <v>391396</v>
      </c>
      <c r="J11" s="5">
        <f>VLOOKUP($P$2,[7]Worksheet!$A$10:$R$72,V4,FALSE)</f>
        <v>405650</v>
      </c>
      <c r="K11" s="5">
        <f>VLOOKUP($P$2,[7]Worksheet!$A$10:$R$72,W4,FALSE)</f>
        <v>406016</v>
      </c>
      <c r="Y11" s="22">
        <v>14</v>
      </c>
      <c r="Z11" s="23" t="s">
        <v>73</v>
      </c>
    </row>
    <row r="12" spans="1:26" ht="15.6" x14ac:dyDescent="0.3">
      <c r="A12" s="12">
        <v>11</v>
      </c>
      <c r="B12" s="21" t="s">
        <v>18</v>
      </c>
      <c r="C12" s="3" t="s">
        <v>24</v>
      </c>
      <c r="D12" s="5">
        <f>VLOOKUP($P$2,[7]Worksheet!$A$10:$R$72,P5,FALSE)</f>
        <v>848304</v>
      </c>
      <c r="E12" s="5">
        <f>VLOOKUP($P$2,[7]Worksheet!$A$10:$R$72,Q5,FALSE)</f>
        <v>835837</v>
      </c>
      <c r="F12" s="5">
        <f>VLOOKUP($P$2,[7]Worksheet!$A$10:$R$72,R5,FALSE)</f>
        <v>823304</v>
      </c>
      <c r="G12" s="5">
        <f>VLOOKUP($P$2,[7]Worksheet!$A$10:$R$72,S5,FALSE)</f>
        <v>811001</v>
      </c>
      <c r="H12" s="5">
        <f>VLOOKUP($P$2,[7]Worksheet!$A$10:$R$72,T5,FALSE)</f>
        <v>809133</v>
      </c>
      <c r="I12" s="5">
        <f>VLOOKUP($P$2,[7]Worksheet!$A$10:$R$72,U5,FALSE)</f>
        <v>815423</v>
      </c>
      <c r="J12" s="5">
        <f>VLOOKUP($P$2,[7]Worksheet!$A$10:$R$72,V5,FALSE)</f>
        <v>792173</v>
      </c>
      <c r="K12" s="5">
        <f>VLOOKUP($P$2,[7]Worksheet!$A$10:$R$72,W5,FALSE)</f>
        <v>792782</v>
      </c>
      <c r="Y12" s="22">
        <v>15</v>
      </c>
      <c r="Z12" s="23" t="s">
        <v>74</v>
      </c>
    </row>
    <row r="13" spans="1:26" ht="15.6" x14ac:dyDescent="0.3">
      <c r="A13" s="12">
        <v>12</v>
      </c>
      <c r="B13" s="3" t="s">
        <v>19</v>
      </c>
      <c r="C13" s="3" t="s">
        <v>21</v>
      </c>
      <c r="D13" s="6">
        <f>VLOOKUP($P$2,[8]Worksheet!$A$9:$J$71,P3,FALSE)</f>
        <v>5.7</v>
      </c>
      <c r="E13" s="6">
        <f>VLOOKUP($P$2,[8]Worksheet!$A$9:$J$71,Q3,FALSE)</f>
        <v>5.7</v>
      </c>
      <c r="F13" s="6">
        <f>VLOOKUP($P$2,[8]Worksheet!$A$9:$J$71,R3,FALSE)</f>
        <v>5.7</v>
      </c>
      <c r="G13" s="6">
        <f>VLOOKUP($P$2,[8]Worksheet!$A$9:$J$71,S3,FALSE)</f>
        <v>5.8</v>
      </c>
      <c r="H13" s="6">
        <f>VLOOKUP($P$2,[8]Worksheet!$A$9:$J$71,T3,FALSE)</f>
        <v>6</v>
      </c>
      <c r="I13" s="6">
        <f>VLOOKUP($P$2,[8]Worksheet!$A$9:$J$71,U3,FALSE)</f>
        <v>6.1</v>
      </c>
      <c r="J13" s="6">
        <f>VLOOKUP($P$2,[8]Worksheet!$A$9:$J$71,V3,FALSE)</f>
        <v>6.1</v>
      </c>
      <c r="K13" s="6">
        <f>VLOOKUP($P$2,[8]Worksheet!$A$9:$J$71,W3,FALSE)</f>
        <v>6.1</v>
      </c>
      <c r="Y13" s="22">
        <v>17</v>
      </c>
      <c r="Z13" s="23" t="s">
        <v>75</v>
      </c>
    </row>
    <row r="14" spans="1:26" ht="15.6" x14ac:dyDescent="0.3">
      <c r="A14" s="12">
        <v>13</v>
      </c>
      <c r="B14" s="3" t="s">
        <v>25</v>
      </c>
      <c r="C14" s="3" t="s">
        <v>21</v>
      </c>
      <c r="D14" s="6">
        <f>VLOOKUP($P$2,[9]Worksheet!$A$9:$J$71,P3,FALSE)</f>
        <v>213.4</v>
      </c>
      <c r="E14" s="6">
        <f>VLOOKUP($P$2,[9]Worksheet!$A$9:$J$71,Q3,FALSE)</f>
        <v>213.3</v>
      </c>
      <c r="F14" s="6">
        <f>VLOOKUP($P$2,[9]Worksheet!$A$9:$J$71,R3,FALSE)</f>
        <v>213.2</v>
      </c>
      <c r="G14" s="6">
        <f>VLOOKUP($P$2,[9]Worksheet!$A$9:$J$71,S3,FALSE)</f>
        <v>212.6</v>
      </c>
      <c r="H14" s="6">
        <f>VLOOKUP($P$2,[9]Worksheet!$A$9:$J$71,T3,FALSE)</f>
        <v>212.3</v>
      </c>
      <c r="I14" s="6">
        <f>VLOOKUP($P$2,[9]Worksheet!$A$9:$J$71,U3,FALSE)</f>
        <v>212.1</v>
      </c>
      <c r="J14" s="6">
        <f>VLOOKUP($P$2,[9]Worksheet!$A$9:$J$71,V3,FALSE)</f>
        <v>212</v>
      </c>
      <c r="K14" s="6">
        <f>VLOOKUP($P$2,[9]Worksheet!$A$9:$J$71,W3,FALSE)</f>
        <v>211.5</v>
      </c>
      <c r="Y14" s="22">
        <v>19</v>
      </c>
      <c r="Z14" s="23" t="s">
        <v>76</v>
      </c>
    </row>
    <row r="15" spans="1:26" ht="15.6" x14ac:dyDescent="0.3">
      <c r="A15" s="12">
        <v>14</v>
      </c>
      <c r="B15" s="3" t="s">
        <v>27</v>
      </c>
      <c r="C15" s="3" t="s">
        <v>26</v>
      </c>
      <c r="D15" s="7">
        <f>VLOOKUP($P$2,[10]Worksheet!$A$9:$H$71,P3,FALSE)</f>
        <v>33.82</v>
      </c>
      <c r="E15" s="7">
        <f>VLOOKUP($P$2,[10]Worksheet!$A$9:$H$71,Q3,FALSE)</f>
        <v>37.39</v>
      </c>
      <c r="F15" s="7">
        <f>VLOOKUP($P$2,[10]Worksheet!$A$9:$H$71,R3,FALSE)</f>
        <v>41.47</v>
      </c>
      <c r="G15" s="7">
        <f>VLOOKUP($P$2,[10]Worksheet!$A$9:$H$71,S3,FALSE)</f>
        <v>44.5</v>
      </c>
      <c r="H15" s="7">
        <f>VLOOKUP($P$2,[10]Worksheet!$A$9:$H$71,T3,FALSE)</f>
        <v>45.84</v>
      </c>
      <c r="I15" s="7">
        <f>VLOOKUP($P$2,[10]Worksheet!$A$9:$H$71,U3,FALSE)</f>
        <v>47.95</v>
      </c>
      <c r="J15" s="8"/>
      <c r="K15" s="8"/>
      <c r="Y15" s="22">
        <v>20</v>
      </c>
      <c r="Z15" s="23" t="s">
        <v>77</v>
      </c>
    </row>
    <row r="16" spans="1:26" ht="15.6" x14ac:dyDescent="0.3">
      <c r="A16" s="12">
        <v>15</v>
      </c>
      <c r="B16" s="3" t="s">
        <v>28</v>
      </c>
      <c r="C16" s="3" t="s">
        <v>24</v>
      </c>
      <c r="D16" s="5">
        <f>VLOOKUP($P$2,[11]Worksheet!$A$9:$J$71,P3,FALSE)</f>
        <v>331265</v>
      </c>
      <c r="E16" s="5">
        <f>VLOOKUP($P$2,[11]Worksheet!$A$9:$J$71,Q3,FALSE)</f>
        <v>320140</v>
      </c>
      <c r="F16" s="5">
        <f>VLOOKUP($P$2,[11]Worksheet!$A$9:$J$71,R3,FALSE)</f>
        <v>318641</v>
      </c>
      <c r="G16" s="5">
        <f>VLOOKUP($P$2,[11]Worksheet!$A$9:$J$71,S3,FALSE)</f>
        <v>292046</v>
      </c>
      <c r="H16" s="5">
        <f>VLOOKUP($P$2,[11]Worksheet!$A$9:$J$71,T3,FALSE)</f>
        <v>293110</v>
      </c>
      <c r="I16" s="5">
        <f>VLOOKUP($P$2,[11]Worksheet!$A$9:$J$71,U3,FALSE)</f>
        <v>289231</v>
      </c>
      <c r="J16" s="5">
        <f>VLOOKUP($P$2,[11]Worksheet!$A$9:$J$71,V3,FALSE)</f>
        <v>294583</v>
      </c>
      <c r="K16" s="5">
        <f>VLOOKUP($P$2,[11]Worksheet!$A$9:$J$71,W3,FALSE)</f>
        <v>289373</v>
      </c>
      <c r="Y16" s="22">
        <v>22</v>
      </c>
      <c r="Z16" s="23" t="s">
        <v>78</v>
      </c>
    </row>
    <row r="17" spans="1:26" ht="15.6" x14ac:dyDescent="0.3">
      <c r="A17" s="12">
        <v>16</v>
      </c>
      <c r="B17" s="3" t="s">
        <v>29</v>
      </c>
      <c r="C17" s="3" t="s">
        <v>30</v>
      </c>
      <c r="D17" s="5">
        <f>VLOOKUP($P$2,[12]Worksheet!$A$9:$I$71,P3,FALSE)</f>
        <v>1693</v>
      </c>
      <c r="E17" s="5">
        <f>VLOOKUP($P$2,[12]Worksheet!$A$9:$I$71,Q3,FALSE)</f>
        <v>1897</v>
      </c>
      <c r="F17" s="5">
        <f>VLOOKUP($P$2,[12]Worksheet!$A$9:$I$71,R3,FALSE)</f>
        <v>2046</v>
      </c>
      <c r="G17" s="5">
        <f>VLOOKUP($P$2,[12]Worksheet!$A$9:$I$71,S3,FALSE)</f>
        <v>2260</v>
      </c>
      <c r="H17" s="5">
        <f>VLOOKUP($P$2,[12]Worksheet!$A$9:$I$71,T3,FALSE)</f>
        <v>2365</v>
      </c>
      <c r="I17" s="5">
        <f>VLOOKUP($P$2,[12]Worksheet!$A$9:$I$71,U3,FALSE)</f>
        <v>2491</v>
      </c>
      <c r="J17" s="5">
        <f>VLOOKUP($P$2,[12]Worksheet!$A$9:$I$71,V3,FALSE)</f>
        <v>2724</v>
      </c>
      <c r="K17" s="9"/>
      <c r="Y17" s="22">
        <v>24</v>
      </c>
      <c r="Z17" s="23" t="s">
        <v>79</v>
      </c>
    </row>
    <row r="18" spans="1:26" ht="15.6" x14ac:dyDescent="0.3">
      <c r="A18" s="12">
        <v>17</v>
      </c>
      <c r="B18" s="3" t="s">
        <v>31</v>
      </c>
      <c r="C18" s="3" t="s">
        <v>32</v>
      </c>
      <c r="D18" s="5">
        <f>VLOOKUP($P$2,[13]Worksheet!$A$9:$J$71,P3,FALSE)</f>
        <v>0</v>
      </c>
      <c r="E18" s="5">
        <f>VLOOKUP($P$2,[13]Worksheet!$A$9:$J$71,Q3,FALSE)</f>
        <v>0</v>
      </c>
      <c r="F18" s="5">
        <f>VLOOKUP($P$2,[13]Worksheet!$A$9:$J$71,R3,FALSE)</f>
        <v>1064</v>
      </c>
      <c r="G18" s="5">
        <f>VLOOKUP($P$2,[13]Worksheet!$A$9:$J$71,S3,FALSE)</f>
        <v>9413.2000000000007</v>
      </c>
      <c r="H18" s="5">
        <f>VLOOKUP($P$2,[13]Worksheet!$A$9:$J$71,T3,FALSE)</f>
        <v>26493.9</v>
      </c>
      <c r="I18" s="5">
        <f>VLOOKUP($P$2,[13]Worksheet!$A$9:$J$71,U3,FALSE)</f>
        <v>15.5</v>
      </c>
      <c r="J18" s="5">
        <f>VLOOKUP($P$2,[13]Worksheet!$A$9:$J$71,V3,FALSE)</f>
        <v>19348.099999999999</v>
      </c>
      <c r="K18" s="5">
        <f>VLOOKUP($P$2,[13]Worksheet!$A$9:$J$71,W3,FALSE)</f>
        <v>7627.8</v>
      </c>
      <c r="Y18" s="22">
        <v>25</v>
      </c>
      <c r="Z18" s="23" t="s">
        <v>80</v>
      </c>
    </row>
    <row r="19" spans="1:26" ht="15.6" x14ac:dyDescent="0.3">
      <c r="A19" s="12">
        <v>18</v>
      </c>
      <c r="B19" s="3" t="s">
        <v>33</v>
      </c>
      <c r="C19" s="3" t="s">
        <v>24</v>
      </c>
      <c r="D19" s="5">
        <f>VLOOKUP($P$2,[14]Worksheet!$A$9:$J$71,P3,FALSE)</f>
        <v>2</v>
      </c>
      <c r="E19" s="5">
        <f>VLOOKUP($P$2,[14]Worksheet!$A$9:$J$71,Q3,FALSE)</f>
        <v>0</v>
      </c>
      <c r="F19" s="5">
        <f>VLOOKUP($P$2,[14]Worksheet!$A$9:$J$71,R3,FALSE)</f>
        <v>0</v>
      </c>
      <c r="G19" s="5">
        <f>VLOOKUP($P$2,[14]Worksheet!$A$9:$J$71,S3,FALSE)</f>
        <v>4</v>
      </c>
      <c r="H19" s="5">
        <f>VLOOKUP($P$2,[14]Worksheet!$A$9:$J$71,T3,FALSE)</f>
        <v>3</v>
      </c>
      <c r="I19" s="5">
        <f>VLOOKUP($P$2,[14]Worksheet!$A$9:$J$71,U3,FALSE)</f>
        <v>3</v>
      </c>
      <c r="J19" s="5">
        <f>VLOOKUP($P$2,[14]Worksheet!$A$9:$J$71,V3,FALSE)</f>
        <v>19</v>
      </c>
      <c r="K19" s="5">
        <f>VLOOKUP($P$2,[14]Worksheet!$A$9:$J$71,W3,FALSE)</f>
        <v>9</v>
      </c>
      <c r="Y19" s="22">
        <v>26</v>
      </c>
      <c r="Z19" s="23" t="s">
        <v>81</v>
      </c>
    </row>
    <row r="20" spans="1:26" ht="15.6" x14ac:dyDescent="0.3">
      <c r="A20" s="12">
        <v>19</v>
      </c>
      <c r="B20" s="3" t="s">
        <v>34</v>
      </c>
      <c r="C20" s="3" t="s">
        <v>35</v>
      </c>
      <c r="D20" s="5">
        <f>VLOOKUP($P$2,[15]Worksheet!$A$9:$J$71,P3,FALSE)</f>
        <v>159</v>
      </c>
      <c r="E20" s="5">
        <f>VLOOKUP($P$2,[15]Worksheet!$A$9:$J$71,Q3,FALSE)</f>
        <v>28</v>
      </c>
      <c r="F20" s="5">
        <f>VLOOKUP($P$2,[15]Worksheet!$A$9:$J$71,R3,FALSE)</f>
        <v>150</v>
      </c>
      <c r="G20" s="5">
        <f>VLOOKUP($P$2,[15]Worksheet!$A$9:$J$71,S3,FALSE)</f>
        <v>442</v>
      </c>
      <c r="H20" s="5">
        <f>VLOOKUP($P$2,[15]Worksheet!$A$9:$J$71,T3,FALSE)</f>
        <v>420</v>
      </c>
      <c r="I20" s="5">
        <f>VLOOKUP($P$2,[15]Worksheet!$A$9:$J$71,U3,FALSE)</f>
        <v>283</v>
      </c>
      <c r="J20" s="5">
        <f>VLOOKUP($P$2,[15]Worksheet!$A$9:$J$71,V3,FALSE)</f>
        <v>351</v>
      </c>
      <c r="K20" s="5">
        <f>VLOOKUP($P$2,[15]Worksheet!$A$9:$J$71,W3,FALSE)</f>
        <v>4270</v>
      </c>
      <c r="Y20" s="22">
        <v>27</v>
      </c>
      <c r="Z20" s="23" t="s">
        <v>82</v>
      </c>
    </row>
    <row r="21" spans="1:26" ht="15.6" x14ac:dyDescent="0.3">
      <c r="A21" s="12">
        <v>20</v>
      </c>
      <c r="B21" s="3" t="s">
        <v>36</v>
      </c>
      <c r="C21" s="3" t="s">
        <v>22</v>
      </c>
      <c r="D21" s="7">
        <f>VLOOKUP($P$2,[16]Worksheet!$A$9:$J$71,P3,FALSE)</f>
        <v>4.2300000000000004</v>
      </c>
      <c r="E21" s="7">
        <f>VLOOKUP($P$2,[16]Worksheet!$A$9:$J$71,Q3,FALSE)</f>
        <v>4.4000000000000004</v>
      </c>
      <c r="F21" s="7">
        <f>VLOOKUP($P$2,[16]Worksheet!$A$9:$J$71,R3,FALSE)</f>
        <v>6.47</v>
      </c>
      <c r="G21" s="7">
        <f>VLOOKUP($P$2,[16]Worksheet!$A$9:$J$71,S3,FALSE)</f>
        <v>5.91</v>
      </c>
      <c r="H21" s="7">
        <f>VLOOKUP($P$2,[16]Worksheet!$A$9:$J$71,T3,FALSE)</f>
        <v>1.25</v>
      </c>
      <c r="I21" s="7">
        <f>VLOOKUP($P$2,[16]Worksheet!$A$9:$J$71,U3,FALSE)</f>
        <v>2.41</v>
      </c>
      <c r="J21" s="7">
        <f>VLOOKUP($P$2,[16]Worksheet!$A$9:$J$71,V3,FALSE)</f>
        <v>8.1199999999999992</v>
      </c>
      <c r="K21" s="7">
        <f>VLOOKUP($P$2,[16]Worksheet!$A$9:$J$71,W3,FALSE)</f>
        <v>5.4</v>
      </c>
      <c r="Y21" s="22">
        <v>30</v>
      </c>
      <c r="Z21" s="23" t="s">
        <v>83</v>
      </c>
    </row>
    <row r="22" spans="1:26" ht="15.6" x14ac:dyDescent="0.3">
      <c r="A22" s="12">
        <v>21</v>
      </c>
      <c r="B22" s="3" t="s">
        <v>37</v>
      </c>
      <c r="C22" s="3" t="s">
        <v>24</v>
      </c>
      <c r="D22" s="5">
        <f>VLOOKUP($P$2,[17]Worksheet!$A$9:$J$71,P3,FALSE)</f>
        <v>1227576</v>
      </c>
      <c r="E22" s="5">
        <f>VLOOKUP($P$2,[17]Worksheet!$A$9:$J$71,Q3,FALSE)</f>
        <v>1218315</v>
      </c>
      <c r="F22" s="5">
        <f>VLOOKUP($P$2,[17]Worksheet!$A$9:$J$71,R3,FALSE)</f>
        <v>1208822</v>
      </c>
      <c r="G22" s="5">
        <f>VLOOKUP($P$2,[17]Worksheet!$A$9:$J$71,S3,FALSE)</f>
        <v>1199528</v>
      </c>
      <c r="H22" s="5">
        <f>VLOOKUP($P$2,[17]Worksheet!$A$9:$J$71,T3,FALSE)</f>
        <v>1195741</v>
      </c>
      <c r="I22" s="5">
        <f>VLOOKUP($P$2,[17]Worksheet!$A$9:$J$71,U3,FALSE)</f>
        <v>1206819</v>
      </c>
      <c r="J22" s="5">
        <f>VLOOKUP($P$2,[17]Worksheet!$A$9:$J$71,V3,FALSE)</f>
        <v>1197823</v>
      </c>
      <c r="K22" s="5">
        <f>VLOOKUP($P$2,[17]Worksheet!$A$9:$J$71,W3,FALSE)</f>
        <v>1198798</v>
      </c>
      <c r="Y22" s="22">
        <v>31</v>
      </c>
      <c r="Z22" s="23" t="s">
        <v>84</v>
      </c>
    </row>
    <row r="23" spans="1:26" ht="15.6" x14ac:dyDescent="0.3">
      <c r="A23" s="12">
        <v>22</v>
      </c>
      <c r="B23" s="3" t="s">
        <v>38</v>
      </c>
      <c r="C23" s="3" t="s">
        <v>39</v>
      </c>
      <c r="D23" s="6">
        <f>VLOOKUP($P$2,[18]Worksheet!$A$9:$I$71,P3,FALSE)</f>
        <v>3311.9</v>
      </c>
      <c r="E23" s="6">
        <f>VLOOKUP($P$2,[18]Worksheet!$A$9:$I$71,Q3,FALSE)</f>
        <v>3311.9</v>
      </c>
      <c r="F23" s="6">
        <f>VLOOKUP($P$2,[18]Worksheet!$A$9:$I$71,R3,FALSE)</f>
        <v>3311.9</v>
      </c>
      <c r="G23" s="6">
        <f>VLOOKUP($P$2,[18]Worksheet!$A$9:$I$71,S3,FALSE)</f>
        <v>3311.9</v>
      </c>
      <c r="H23" s="6">
        <f>VLOOKUP($P$2,[18]Worksheet!$A$9:$I$71,T3,FALSE)</f>
        <v>329.8</v>
      </c>
      <c r="I23" s="6">
        <f>VLOOKUP($P$2,[18]Worksheet!$A$9:$I$71,U3,FALSE)</f>
        <v>329.8</v>
      </c>
      <c r="J23" s="6">
        <f>VLOOKUP($P$2,[18]Worksheet!$A$9:$I$71,V3,FALSE)</f>
        <v>329.8</v>
      </c>
      <c r="K23" s="10"/>
      <c r="Y23" s="22">
        <v>33</v>
      </c>
      <c r="Z23" s="23" t="s">
        <v>85</v>
      </c>
    </row>
    <row r="24" spans="1:26" ht="15.6" x14ac:dyDescent="0.3">
      <c r="A24" s="12">
        <v>23</v>
      </c>
      <c r="B24" s="3" t="s">
        <v>40</v>
      </c>
      <c r="C24" s="3" t="s">
        <v>41</v>
      </c>
      <c r="D24" s="5">
        <f>VLOOKUP($P$2,[19]Worksheet!$A$9:$G$71,P3,FALSE)</f>
        <v>288</v>
      </c>
      <c r="E24" s="5">
        <f>VLOOKUP($P$2,[19]Worksheet!$A$9:$G$71,Q3,FALSE)</f>
        <v>288</v>
      </c>
      <c r="F24" s="5">
        <f>VLOOKUP($P$2,[19]Worksheet!$A$9:$G$71,R3,FALSE)</f>
        <v>288</v>
      </c>
      <c r="G24" s="5">
        <f>VLOOKUP($P$2,[19]Worksheet!$A$9:$G$71,S3,FALSE)</f>
        <v>288</v>
      </c>
      <c r="H24" s="5">
        <f>VLOOKUP($P$2,[19]Worksheet!$A$9:$G$71,T3,FALSE)</f>
        <v>789.4</v>
      </c>
      <c r="I24" s="10"/>
      <c r="J24" s="10"/>
      <c r="K24" s="10"/>
      <c r="L24" s="1"/>
      <c r="Y24" s="22">
        <v>34</v>
      </c>
      <c r="Z24" s="23" t="s">
        <v>86</v>
      </c>
    </row>
    <row r="25" spans="1:26" ht="15.6" x14ac:dyDescent="0.3">
      <c r="A25" s="12">
        <v>24</v>
      </c>
      <c r="B25" s="3" t="s">
        <v>43</v>
      </c>
      <c r="C25" s="3" t="s">
        <v>42</v>
      </c>
      <c r="D25" s="5">
        <f>VLOOKUP($P$2,[20]Worksheet!$A$9:$H$71,P3,FALSE)</f>
        <v>338562</v>
      </c>
      <c r="E25" s="5">
        <f>VLOOKUP($P$2,[20]Worksheet!$A$9:$H$71,Q3,FALSE)</f>
        <v>351675</v>
      </c>
      <c r="F25" s="5">
        <f>VLOOKUP($P$2,[20]Worksheet!$A$9:$H$71,R3,FALSE)</f>
        <v>346186</v>
      </c>
      <c r="G25" s="5">
        <f>VLOOKUP($P$2,[20]Worksheet!$A$9:$H$71,S3,FALSE)</f>
        <v>319732</v>
      </c>
      <c r="H25" s="5">
        <f>VLOOKUP($P$2,[20]Worksheet!$A$9:$H$71,T3,FALSE)</f>
        <v>318674</v>
      </c>
      <c r="I25" s="5">
        <f>VLOOKUP($P$2,[20]Worksheet!$A$9:$H$71,U3,FALSE)</f>
        <v>322200</v>
      </c>
      <c r="J25" s="9"/>
      <c r="K25" s="9"/>
      <c r="Y25" s="22">
        <v>35</v>
      </c>
      <c r="Z25" s="23" t="s">
        <v>87</v>
      </c>
    </row>
    <row r="26" spans="1:26" ht="15.6" x14ac:dyDescent="0.3">
      <c r="A26" s="12">
        <v>25</v>
      </c>
      <c r="B26" s="3" t="s">
        <v>44</v>
      </c>
      <c r="C26" s="3" t="s">
        <v>45</v>
      </c>
      <c r="D26" s="6">
        <f>VLOOKUP($P$2,[21]Worksheet!$A$9:$J$71,P3,FALSE)</f>
        <v>74</v>
      </c>
      <c r="E26" s="6">
        <f>VLOOKUP($P$2,[21]Worksheet!$A$9:$J$71,Q3,FALSE)</f>
        <v>74.099999999999994</v>
      </c>
      <c r="F26" s="6">
        <f>VLOOKUP($P$2,[21]Worksheet!$A$9:$J$71,R3,FALSE)</f>
        <v>74.2</v>
      </c>
      <c r="G26" s="6">
        <f>VLOOKUP($P$2,[21]Worksheet!$A$9:$J$71,S3,FALSE)</f>
        <v>74.2</v>
      </c>
      <c r="H26" s="6">
        <f>VLOOKUP($P$2,[21]Worksheet!$A$9:$J$71,T3,FALSE)</f>
        <v>74.400000000000006</v>
      </c>
      <c r="I26" s="6">
        <f>VLOOKUP($P$2,[21]Worksheet!$A$9:$J$71,U3,FALSE)</f>
        <v>74.3</v>
      </c>
      <c r="J26" s="6">
        <f>VLOOKUP($P$2,[21]Worksheet!$A$9:$J$71,V3,FALSE)</f>
        <v>74.3</v>
      </c>
      <c r="K26" s="6">
        <f>VLOOKUP($P$2,[21]Worksheet!$A$9:$J$71,W3,FALSE)</f>
        <v>74.599999999999994</v>
      </c>
      <c r="Y26" s="22">
        <v>36</v>
      </c>
      <c r="Z26" s="23" t="s">
        <v>88</v>
      </c>
    </row>
    <row r="27" spans="1:26" ht="15.6" x14ac:dyDescent="0.3">
      <c r="A27" s="12">
        <v>26</v>
      </c>
      <c r="B27" s="3" t="s">
        <v>46</v>
      </c>
      <c r="C27" s="3" t="s">
        <v>45</v>
      </c>
      <c r="D27" s="6">
        <f>VLOOKUP($P$2,[22]Worksheet!$A$10:$R$72,P4,FALSE)</f>
        <v>71.5</v>
      </c>
      <c r="E27" s="6">
        <f>VLOOKUP($P$2,[22]Worksheet!$A$10:$R$72,Q4,FALSE)</f>
        <v>71.599999999999994</v>
      </c>
      <c r="F27" s="6">
        <f>VLOOKUP($P$2,[22]Worksheet!$A$10:$R$72,R4,FALSE)</f>
        <v>71.599999999999994</v>
      </c>
      <c r="G27" s="6">
        <f>VLOOKUP($P$2,[22]Worksheet!$A$10:$R$72,S4,FALSE)</f>
        <v>71.7</v>
      </c>
      <c r="H27" s="6">
        <f>VLOOKUP($P$2,[22]Worksheet!$A$10:$R$72,T4,FALSE)</f>
        <v>71.900000000000006</v>
      </c>
      <c r="I27" s="6">
        <f>VLOOKUP($P$2,[22]Worksheet!$A$10:$R$72,U4,FALSE)</f>
        <v>71.8</v>
      </c>
      <c r="J27" s="6">
        <f>VLOOKUP($P$2,[22]Worksheet!$A$10:$R$72,V4,FALSE)</f>
        <v>71.8</v>
      </c>
      <c r="K27" s="6">
        <f>VLOOKUP($P$2,[22]Worksheet!$A$10:$R$72,W4,FALSE)</f>
        <v>72.2</v>
      </c>
      <c r="Y27" s="22">
        <v>37</v>
      </c>
      <c r="Z27" s="23" t="s">
        <v>89</v>
      </c>
    </row>
    <row r="28" spans="1:26" ht="15.6" x14ac:dyDescent="0.3">
      <c r="A28" s="12">
        <v>27</v>
      </c>
      <c r="B28" s="3" t="s">
        <v>47</v>
      </c>
      <c r="C28" s="3" t="s">
        <v>45</v>
      </c>
      <c r="D28" s="6">
        <f>VLOOKUP($P$2,[22]Worksheet!$A$10:$R$72,P5,FALSE)</f>
        <v>76.7</v>
      </c>
      <c r="E28" s="6">
        <f>VLOOKUP($P$2,[22]Worksheet!$A$10:$R$72,Q5,FALSE)</f>
        <v>76.8</v>
      </c>
      <c r="F28" s="6">
        <f>VLOOKUP($P$2,[22]Worksheet!$A$10:$R$72,R5,FALSE)</f>
        <v>76.8</v>
      </c>
      <c r="G28" s="6">
        <f>VLOOKUP($P$2,[22]Worksheet!$A$10:$R$72,S5,FALSE)</f>
        <v>76.900000000000006</v>
      </c>
      <c r="H28" s="6">
        <f>VLOOKUP($P$2,[22]Worksheet!$A$10:$R$72,T5,FALSE)</f>
        <v>77</v>
      </c>
      <c r="I28" s="6">
        <f>VLOOKUP($P$2,[22]Worksheet!$A$10:$R$72,U5,FALSE)</f>
        <v>76.900000000000006</v>
      </c>
      <c r="J28" s="6">
        <f>VLOOKUP($P$2,[22]Worksheet!$A$10:$R$72,V5,FALSE)</f>
        <v>76.900000000000006</v>
      </c>
      <c r="K28" s="6">
        <f>VLOOKUP($P$2,[22]Worksheet!$A$10:$R$72,W5,FALSE)</f>
        <v>77.2</v>
      </c>
      <c r="Y28" s="22">
        <v>38</v>
      </c>
      <c r="Z28" s="23" t="s">
        <v>90</v>
      </c>
    </row>
    <row r="29" spans="1:26" ht="15.6" x14ac:dyDescent="0.3">
      <c r="A29" s="12">
        <v>28</v>
      </c>
      <c r="B29" s="3" t="s">
        <v>48</v>
      </c>
      <c r="C29" s="3" t="s">
        <v>22</v>
      </c>
      <c r="D29" s="6">
        <f>VLOOKUP($P$2,[23]Worksheet!$A$9:$H$71,P3,FALSE)</f>
        <v>99.2</v>
      </c>
      <c r="E29" s="6">
        <f>VLOOKUP($P$2,[23]Worksheet!$A$9:$H$71,Q3,FALSE)</f>
        <v>98.2</v>
      </c>
      <c r="F29" s="6">
        <f>VLOOKUP($P$2,[23]Worksheet!$A$9:$H$71,R3,FALSE)</f>
        <v>100</v>
      </c>
      <c r="G29" s="6">
        <f>VLOOKUP($P$2,[23]Worksheet!$A$9:$H$71,S3,FALSE)</f>
        <v>98.3</v>
      </c>
      <c r="H29" s="6">
        <f>VLOOKUP($P$2,[23]Worksheet!$A$9:$H$71,T3,FALSE)</f>
        <v>99.4</v>
      </c>
      <c r="I29" s="6">
        <f>VLOOKUP($P$2,[23]Worksheet!$A$9:$H$71,U3,FALSE)</f>
        <v>100</v>
      </c>
      <c r="J29" s="10"/>
      <c r="K29" s="10"/>
      <c r="Y29" s="22">
        <v>40</v>
      </c>
      <c r="Z29" s="23" t="s">
        <v>91</v>
      </c>
    </row>
    <row r="30" spans="1:26" ht="15.6" x14ac:dyDescent="0.3">
      <c r="A30" s="12">
        <v>29</v>
      </c>
      <c r="B30" s="3" t="s">
        <v>49</v>
      </c>
      <c r="C30" s="3" t="s">
        <v>22</v>
      </c>
      <c r="D30" s="6">
        <f>VLOOKUP($P$2,[24]Worksheet!$A$9:$J$71,P3,FALSE)</f>
        <v>10.199999999999999</v>
      </c>
      <c r="E30" s="6">
        <f>VLOOKUP($P$2,[24]Worksheet!$A$9:$J$71,Q3,FALSE)</f>
        <v>8.6999999999999993</v>
      </c>
      <c r="F30" s="6">
        <f>VLOOKUP($P$2,[24]Worksheet!$A$9:$J$71,R3,FALSE)</f>
        <v>6.7</v>
      </c>
      <c r="G30" s="6">
        <f>VLOOKUP($P$2,[24]Worksheet!$A$9:$J$71,S3,FALSE)</f>
        <v>5.6</v>
      </c>
      <c r="H30" s="6">
        <f>VLOOKUP($P$2,[24]Worksheet!$A$9:$J$71,T3,FALSE)</f>
        <v>5</v>
      </c>
      <c r="I30" s="6">
        <f>VLOOKUP($P$2,[24]Worksheet!$A$9:$J$71,U3,FALSE)</f>
        <v>4.7</v>
      </c>
      <c r="J30" s="6">
        <f>VLOOKUP($P$2,[24]Worksheet!$A$9:$J$71,V3,FALSE)</f>
        <v>6.1</v>
      </c>
      <c r="K30" s="6">
        <f>VLOOKUP($P$2,[24]Worksheet!$A$9:$J$71,W3,FALSE)</f>
        <v>5</v>
      </c>
      <c r="Y30" s="22">
        <v>42</v>
      </c>
      <c r="Z30" s="23" t="s">
        <v>92</v>
      </c>
    </row>
    <row r="31" spans="1:26" ht="15.6" x14ac:dyDescent="0.3">
      <c r="A31" s="12">
        <v>30</v>
      </c>
      <c r="B31" s="3" t="s">
        <v>50</v>
      </c>
      <c r="C31" s="3" t="s">
        <v>22</v>
      </c>
      <c r="D31" s="6">
        <f>VLOOKUP($P$2,[25]Worksheet!$A$9:$J$71,P3,FALSE)</f>
        <v>10.3</v>
      </c>
      <c r="E31" s="6">
        <f>VLOOKUP($P$2,[25]Worksheet!$A$9:$J$71,Q3,FALSE)</f>
        <v>10.4</v>
      </c>
      <c r="F31" s="6">
        <f>VLOOKUP($P$2,[25]Worksheet!$A$9:$J$71,R3,FALSE)</f>
        <v>11.4</v>
      </c>
      <c r="G31" s="6">
        <f>VLOOKUP($P$2,[25]Worksheet!$A$9:$J$71,S3,FALSE)</f>
        <v>12.2</v>
      </c>
      <c r="H31" s="6">
        <f>VLOOKUP($P$2,[25]Worksheet!$A$9:$J$71,T3,FALSE)</f>
        <v>15.2</v>
      </c>
      <c r="I31" s="6">
        <f>VLOOKUP($P$2,[25]Worksheet!$A$9:$J$71,U3,FALSE)</f>
        <v>11.9</v>
      </c>
      <c r="J31" s="6">
        <f>VLOOKUP($P$2,[25]Worksheet!$A$9:$J$71,V3,FALSE)</f>
        <v>12</v>
      </c>
      <c r="K31" s="6">
        <f>VLOOKUP($P$2,[25]Worksheet!$A$9:$J$71,W3,FALSE)</f>
        <v>12.2</v>
      </c>
      <c r="Y31" s="22">
        <v>44</v>
      </c>
      <c r="Z31" s="23" t="s">
        <v>93</v>
      </c>
    </row>
    <row r="32" spans="1:26" ht="15.6" x14ac:dyDescent="0.3">
      <c r="A32" s="12">
        <v>31</v>
      </c>
      <c r="B32" s="3" t="s">
        <v>51</v>
      </c>
      <c r="C32" s="3" t="s">
        <v>22</v>
      </c>
      <c r="D32" s="11"/>
      <c r="E32" s="11"/>
      <c r="F32" s="11"/>
      <c r="G32" s="11"/>
      <c r="H32" s="6">
        <f>VLOOKUP($P$2,[26]Worksheet!$A$9:$F$71,P3,FALSE)</f>
        <v>92.8</v>
      </c>
      <c r="I32" s="6">
        <f>VLOOKUP($P$2,[26]Worksheet!$A$9:$F$71,Q3,FALSE)</f>
        <v>97.2</v>
      </c>
      <c r="J32" s="6">
        <f>VLOOKUP($P$2,[26]Worksheet!$A$9:$F$71,R3,FALSE)</f>
        <v>98</v>
      </c>
      <c r="K32" s="6">
        <f>VLOOKUP($P$2,[26]Worksheet!$A$9:$F$71,S3,FALSE)</f>
        <v>47</v>
      </c>
      <c r="Y32" s="22">
        <v>45</v>
      </c>
      <c r="Z32" s="23" t="s">
        <v>94</v>
      </c>
    </row>
    <row r="33" spans="1:26" ht="15.6" x14ac:dyDescent="0.3">
      <c r="A33" s="12">
        <v>32</v>
      </c>
      <c r="B33" s="3" t="s">
        <v>52</v>
      </c>
      <c r="C33" s="3" t="s">
        <v>22</v>
      </c>
      <c r="D33" s="6">
        <f>VLOOKUP($P$2,[27]Worksheet!$A$9:$H$71,P3,FALSE)</f>
        <v>98.1</v>
      </c>
      <c r="E33" s="6">
        <f>VLOOKUP($P$2,[27]Worksheet!$A$9:$H$71,Q3,FALSE)</f>
        <v>97.6</v>
      </c>
      <c r="F33" s="6">
        <f>VLOOKUP($P$2,[27]Worksheet!$A$9:$H$71,R3,FALSE)</f>
        <v>92.8</v>
      </c>
      <c r="G33" s="6">
        <f>VLOOKUP($P$2,[27]Worksheet!$A$9:$H$71,S3,FALSE)</f>
        <v>90.9</v>
      </c>
      <c r="H33" s="6">
        <f>VLOOKUP($P$2,[27]Worksheet!$A$9:$H$71,T3,FALSE)</f>
        <v>95.7</v>
      </c>
      <c r="I33" s="6">
        <f>VLOOKUP($P$2,[27]Worksheet!$A$9:$H$71,U3,FALSE)</f>
        <v>72.2</v>
      </c>
      <c r="J33" s="10"/>
      <c r="K33" s="10"/>
      <c r="Y33" s="22">
        <v>46</v>
      </c>
      <c r="Z33" s="23" t="s">
        <v>95</v>
      </c>
    </row>
    <row r="34" spans="1:26" ht="15.6" x14ac:dyDescent="0.3">
      <c r="A34" s="12">
        <v>33</v>
      </c>
      <c r="B34" s="3" t="s">
        <v>53</v>
      </c>
      <c r="C34" s="3" t="s">
        <v>54</v>
      </c>
      <c r="D34" s="6">
        <f>VLOOKUP($P$2,[28]Worksheet!$A$9:$J$71,P3,FALSE)</f>
        <v>12.9</v>
      </c>
      <c r="E34" s="6">
        <f>VLOOKUP($P$2,[28]Worksheet!$A$9:$J$71,Q3,FALSE)</f>
        <v>12.7</v>
      </c>
      <c r="F34" s="6">
        <f>VLOOKUP($P$2,[28]Worksheet!$A$9:$J$71,R3,FALSE)</f>
        <v>12.6</v>
      </c>
      <c r="G34" s="6">
        <f>VLOOKUP($P$2,[28]Worksheet!$A$9:$J$71,S3,FALSE)</f>
        <v>12.4</v>
      </c>
      <c r="H34" s="6">
        <f>VLOOKUP($P$2,[28]Worksheet!$A$9:$J$71,T3,FALSE)</f>
        <v>12.1</v>
      </c>
      <c r="I34" s="6">
        <f>VLOOKUP($P$2,[28]Worksheet!$A$9:$J$71,U3,FALSE)</f>
        <v>12.3</v>
      </c>
      <c r="J34" s="6">
        <f>VLOOKUP($P$2,[28]Worksheet!$A$9:$J$71,V3,FALSE)</f>
        <v>11.7</v>
      </c>
      <c r="K34" s="6">
        <f>VLOOKUP($P$2,[28]Worksheet!$A$9:$J$71,W3,FALSE)</f>
        <v>11.5</v>
      </c>
      <c r="Y34" s="22">
        <v>48</v>
      </c>
      <c r="Z34" s="23" t="s">
        <v>96</v>
      </c>
    </row>
    <row r="35" spans="1:26" ht="15.6" x14ac:dyDescent="0.3">
      <c r="A35" s="12">
        <v>34</v>
      </c>
      <c r="B35" s="3" t="s">
        <v>55</v>
      </c>
      <c r="C35" s="3" t="s">
        <v>56</v>
      </c>
      <c r="D35" s="6">
        <f>VLOOKUP($P$2,[29]Worksheet!$A$9:$J$71,P3,FALSE)</f>
        <v>19.3</v>
      </c>
      <c r="E35" s="6">
        <f>VLOOKUP($P$2,[29]Worksheet!$A$9:$J$71,Q3,FALSE)</f>
        <v>19</v>
      </c>
      <c r="F35" s="6">
        <f>VLOOKUP($P$2,[29]Worksheet!$A$9:$J$71,R3,FALSE)</f>
        <v>18.899999999999999</v>
      </c>
      <c r="G35" s="6">
        <f>VLOOKUP($P$2,[29]Worksheet!$A$9:$J$71,S3,FALSE)</f>
        <v>18.600000000000001</v>
      </c>
      <c r="H35" s="6">
        <f>VLOOKUP($P$2,[29]Worksheet!$A$9:$J$71,T3,FALSE)</f>
        <v>18.100000000000001</v>
      </c>
      <c r="I35" s="6">
        <f>VLOOKUP($P$2,[29]Worksheet!$A$9:$J$71,U3,FALSE)</f>
        <v>18.399999999999999</v>
      </c>
      <c r="J35" s="6">
        <f>VLOOKUP($P$2,[29]Worksheet!$A$9:$J$71,V3,FALSE)</f>
        <v>17.8</v>
      </c>
      <c r="K35" s="6">
        <f>VLOOKUP($P$2,[29]Worksheet!$A$9:$J$71,W3,FALSE)</f>
        <v>17.2</v>
      </c>
      <c r="Y35" s="22">
        <v>49</v>
      </c>
      <c r="Z35" s="23" t="s">
        <v>97</v>
      </c>
    </row>
    <row r="36" spans="1:26" ht="15.6" x14ac:dyDescent="0.3">
      <c r="A36" s="12">
        <v>35</v>
      </c>
      <c r="B36" s="3" t="s">
        <v>57</v>
      </c>
      <c r="C36" s="3" t="s">
        <v>58</v>
      </c>
      <c r="D36" s="7">
        <f>VLOOKUP($P$2,[30]Worksheet!$A$9:$J$71,P3,FALSE)</f>
        <v>1.83</v>
      </c>
      <c r="E36" s="7">
        <f>VLOOKUP($P$2,[30]Worksheet!$A$9:$J$71,Q3,FALSE)</f>
        <v>1.69</v>
      </c>
      <c r="F36" s="7">
        <f>VLOOKUP($P$2,[30]Worksheet!$A$9:$J$71,R3,FALSE)</f>
        <v>1.75</v>
      </c>
      <c r="G36" s="7">
        <f>VLOOKUP($P$2,[30]Worksheet!$A$9:$J$71,S3,FALSE)</f>
        <v>1.79</v>
      </c>
      <c r="H36" s="7">
        <f>VLOOKUP($P$2,[30]Worksheet!$A$9:$J$71,T3,FALSE)</f>
        <v>1.8</v>
      </c>
      <c r="I36" s="7">
        <f>VLOOKUP($P$2,[30]Worksheet!$A$9:$J$71,U3,FALSE)</f>
        <v>1.78</v>
      </c>
      <c r="J36" s="7">
        <f>VLOOKUP($P$2,[30]Worksheet!$A$9:$J$71,V3,FALSE)</f>
        <v>1.73</v>
      </c>
      <c r="K36" s="7">
        <f>VLOOKUP($P$2,[30]Worksheet!$A$9:$J$71,W3,FALSE)</f>
        <v>1.77</v>
      </c>
      <c r="Y36" s="22">
        <v>51</v>
      </c>
      <c r="Z36" s="23" t="s">
        <v>98</v>
      </c>
    </row>
    <row r="37" spans="1:26" ht="15.6" x14ac:dyDescent="0.3">
      <c r="Y37" s="22">
        <v>52</v>
      </c>
      <c r="Z37" s="23" t="s">
        <v>99</v>
      </c>
    </row>
    <row r="38" spans="1:26" ht="15.6" x14ac:dyDescent="0.3">
      <c r="Y38" s="22">
        <v>54</v>
      </c>
      <c r="Z38" s="23" t="s">
        <v>100</v>
      </c>
    </row>
    <row r="39" spans="1:26" ht="15.6" x14ac:dyDescent="0.3">
      <c r="Y39" s="22">
        <v>56</v>
      </c>
      <c r="Z39" s="23" t="s">
        <v>101</v>
      </c>
    </row>
    <row r="40" spans="1:26" ht="15.6" x14ac:dyDescent="0.3">
      <c r="O40" t="s">
        <v>128</v>
      </c>
      <c r="Y40" s="22">
        <v>58</v>
      </c>
      <c r="Z40" s="23" t="s">
        <v>102</v>
      </c>
    </row>
    <row r="41" spans="1:26" ht="15.6" x14ac:dyDescent="0.3">
      <c r="Y41" s="22">
        <v>60</v>
      </c>
      <c r="Z41" s="23" t="s">
        <v>103</v>
      </c>
    </row>
    <row r="42" spans="1:26" ht="15.6" x14ac:dyDescent="0.3">
      <c r="Y42" s="22">
        <v>62</v>
      </c>
      <c r="Z42" s="23" t="s">
        <v>104</v>
      </c>
    </row>
    <row r="43" spans="1:26" ht="15.6" x14ac:dyDescent="0.3">
      <c r="Y43" s="22">
        <v>64</v>
      </c>
      <c r="Z43" s="23" t="s">
        <v>105</v>
      </c>
    </row>
    <row r="44" spans="1:26" ht="15.6" x14ac:dyDescent="0.3">
      <c r="Y44" s="22">
        <v>66</v>
      </c>
      <c r="Z44" s="23" t="s">
        <v>106</v>
      </c>
    </row>
    <row r="45" spans="1:26" ht="15.6" x14ac:dyDescent="0.3">
      <c r="Y45" s="22">
        <v>67</v>
      </c>
      <c r="Z45" s="23" t="s">
        <v>107</v>
      </c>
    </row>
    <row r="46" spans="1:26" ht="15.6" x14ac:dyDescent="0.3">
      <c r="Y46" s="22">
        <v>68</v>
      </c>
      <c r="Z46" s="23" t="s">
        <v>108</v>
      </c>
    </row>
    <row r="47" spans="1:26" ht="15.6" x14ac:dyDescent="0.3">
      <c r="Y47" s="22">
        <v>70</v>
      </c>
      <c r="Z47" s="23" t="s">
        <v>109</v>
      </c>
    </row>
    <row r="48" spans="1:26" ht="15.6" x14ac:dyDescent="0.3">
      <c r="Y48" s="22">
        <v>72</v>
      </c>
      <c r="Z48" s="23" t="s">
        <v>110</v>
      </c>
    </row>
    <row r="49" spans="25:26" ht="15.6" x14ac:dyDescent="0.3">
      <c r="Y49" s="22">
        <v>74</v>
      </c>
      <c r="Z49" s="23" t="s">
        <v>111</v>
      </c>
    </row>
    <row r="50" spans="25:26" ht="15.6" x14ac:dyDescent="0.3">
      <c r="Y50" s="22">
        <v>75</v>
      </c>
      <c r="Z50" s="23" t="s">
        <v>112</v>
      </c>
    </row>
    <row r="51" spans="25:26" ht="15.6" x14ac:dyDescent="0.3">
      <c r="Y51" s="22">
        <v>77</v>
      </c>
      <c r="Z51" s="23" t="s">
        <v>113</v>
      </c>
    </row>
    <row r="52" spans="25:26" ht="15.6" x14ac:dyDescent="0.3">
      <c r="Y52" s="22">
        <v>79</v>
      </c>
      <c r="Z52" s="23" t="s">
        <v>114</v>
      </c>
    </row>
    <row r="53" spans="25:26" ht="15.6" x14ac:dyDescent="0.3">
      <c r="Y53" s="22">
        <v>80</v>
      </c>
      <c r="Z53" s="23" t="s">
        <v>115</v>
      </c>
    </row>
    <row r="54" spans="25:26" ht="15.6" x14ac:dyDescent="0.3">
      <c r="Y54" s="22">
        <v>82</v>
      </c>
      <c r="Z54" s="23" t="s">
        <v>116</v>
      </c>
    </row>
    <row r="55" spans="25:26" ht="15.6" x14ac:dyDescent="0.3">
      <c r="Y55" s="22">
        <v>83</v>
      </c>
      <c r="Z55" s="23" t="s">
        <v>117</v>
      </c>
    </row>
    <row r="56" spans="25:26" ht="15.6" x14ac:dyDescent="0.3">
      <c r="Y56" s="22">
        <v>84</v>
      </c>
      <c r="Z56" s="23" t="s">
        <v>118</v>
      </c>
    </row>
    <row r="57" spans="25:26" ht="15.6" x14ac:dyDescent="0.3">
      <c r="Y57" s="22">
        <v>86</v>
      </c>
      <c r="Z57" s="23" t="s">
        <v>119</v>
      </c>
    </row>
    <row r="58" spans="25:26" ht="15.6" x14ac:dyDescent="0.3">
      <c r="Y58" s="22">
        <v>87</v>
      </c>
      <c r="Z58" s="23" t="s">
        <v>120</v>
      </c>
    </row>
    <row r="59" spans="25:26" ht="15.6" x14ac:dyDescent="0.3">
      <c r="Y59" s="22">
        <v>89</v>
      </c>
      <c r="Z59" s="23" t="s">
        <v>121</v>
      </c>
    </row>
    <row r="60" spans="25:26" ht="15.6" x14ac:dyDescent="0.3">
      <c r="Y60" s="22">
        <v>91</v>
      </c>
      <c r="Z60" s="23" t="s">
        <v>122</v>
      </c>
    </row>
    <row r="61" spans="25:26" ht="15.6" x14ac:dyDescent="0.3">
      <c r="Y61" s="22">
        <v>92</v>
      </c>
      <c r="Z61" s="23" t="s">
        <v>123</v>
      </c>
    </row>
    <row r="62" spans="25:26" ht="15.6" x14ac:dyDescent="0.3">
      <c r="Y62" s="22">
        <v>93</v>
      </c>
      <c r="Z62" s="23" t="s">
        <v>124</v>
      </c>
    </row>
    <row r="63" spans="25:26" ht="15.6" x14ac:dyDescent="0.3">
      <c r="Y63" s="22">
        <v>94</v>
      </c>
      <c r="Z63" s="23" t="s">
        <v>125</v>
      </c>
    </row>
    <row r="64" spans="25:26" ht="15.6" x14ac:dyDescent="0.3">
      <c r="Y64" s="22">
        <v>95</v>
      </c>
      <c r="Z64" s="23" t="s">
        <v>126</v>
      </c>
    </row>
    <row r="65" spans="25:26" ht="15.6" x14ac:dyDescent="0.3">
      <c r="Y65" s="22">
        <v>96</v>
      </c>
      <c r="Z65" s="23" t="s">
        <v>127</v>
      </c>
    </row>
    <row r="72" spans="25:26" ht="15.6" x14ac:dyDescent="0.3">
      <c r="Y72" s="18"/>
      <c r="Z72" s="19"/>
    </row>
    <row r="73" spans="25:26" ht="15.6" x14ac:dyDescent="0.3">
      <c r="Y73" s="18"/>
      <c r="Z73" s="19"/>
    </row>
    <row r="74" spans="25:26" ht="15.6" x14ac:dyDescent="0.3">
      <c r="Y74" s="18"/>
    </row>
    <row r="75" spans="25:26" ht="15.6" x14ac:dyDescent="0.3">
      <c r="Y75" s="18"/>
      <c r="Z75" s="19"/>
    </row>
    <row r="76" spans="25:26" ht="15.6" x14ac:dyDescent="0.3">
      <c r="Y76" s="18"/>
      <c r="Z76" s="19"/>
    </row>
    <row r="77" spans="25:26" ht="15.6" x14ac:dyDescent="0.3">
      <c r="Y77" s="18"/>
      <c r="Z77" s="19"/>
    </row>
    <row r="78" spans="25:26" ht="15.6" x14ac:dyDescent="0.3">
      <c r="Y78" s="18"/>
      <c r="Z78" s="19"/>
    </row>
    <row r="79" spans="25:26" ht="15.6" x14ac:dyDescent="0.3">
      <c r="Y79" s="18"/>
      <c r="Z79" s="19"/>
    </row>
    <row r="80" spans="25:26" ht="15.6" x14ac:dyDescent="0.3">
      <c r="Y80" s="18"/>
      <c r="Z80" s="19"/>
    </row>
    <row r="81" spans="25:26" ht="15.6" x14ac:dyDescent="0.3">
      <c r="Y81" s="18"/>
      <c r="Z81" s="19"/>
    </row>
    <row r="82" spans="25:26" ht="15.6" x14ac:dyDescent="0.3">
      <c r="Y82" s="18"/>
      <c r="Z82" s="19"/>
    </row>
    <row r="83" spans="25:26" ht="15.6" x14ac:dyDescent="0.3">
      <c r="Y83" s="18"/>
      <c r="Z83" s="19"/>
    </row>
    <row r="84" spans="25:26" ht="15.6" x14ac:dyDescent="0.3">
      <c r="Y84" s="18"/>
      <c r="Z84" s="19"/>
    </row>
    <row r="85" spans="25:26" ht="15.6" x14ac:dyDescent="0.3">
      <c r="Y85" s="18"/>
      <c r="Z85" s="19"/>
    </row>
    <row r="86" spans="25:26" ht="15.6" x14ac:dyDescent="0.3">
      <c r="Y86" s="18"/>
      <c r="Z86" s="19"/>
    </row>
    <row r="87" spans="25:26" ht="15.6" x14ac:dyDescent="0.3">
      <c r="Y87" s="18"/>
      <c r="Z87" s="19"/>
    </row>
    <row r="88" spans="25:26" ht="15.6" x14ac:dyDescent="0.3">
      <c r="Y88" s="18"/>
      <c r="Z88" s="19"/>
    </row>
    <row r="89" spans="25:26" ht="15.6" x14ac:dyDescent="0.3">
      <c r="Y89" s="18"/>
      <c r="Z89" s="19"/>
    </row>
    <row r="90" spans="25:26" ht="15.6" x14ac:dyDescent="0.3">
      <c r="Y90" s="18"/>
      <c r="Z90" s="19"/>
    </row>
    <row r="91" spans="25:26" ht="15.6" x14ac:dyDescent="0.3">
      <c r="Y91" s="18"/>
      <c r="Z91" s="19"/>
    </row>
    <row r="92" spans="25:26" ht="15.6" x14ac:dyDescent="0.3">
      <c r="Y92" s="18"/>
      <c r="Z92" s="19"/>
    </row>
    <row r="93" spans="25:26" ht="15.6" x14ac:dyDescent="0.3">
      <c r="Y93" s="18"/>
      <c r="Z93" s="19"/>
    </row>
    <row r="94" spans="25:26" ht="15.6" x14ac:dyDescent="0.3">
      <c r="Y94" s="18"/>
      <c r="Z94" s="19"/>
    </row>
    <row r="95" spans="25:26" ht="15.6" x14ac:dyDescent="0.3">
      <c r="Y95" s="18"/>
      <c r="Z95" s="19"/>
    </row>
    <row r="96" spans="25:26" ht="15.6" x14ac:dyDescent="0.3">
      <c r="Y96" s="18"/>
      <c r="Z96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Hai Minh</dc:creator>
  <cp:lastModifiedBy>Ngo Van Khanh</cp:lastModifiedBy>
  <dcterms:created xsi:type="dcterms:W3CDTF">2025-12-21T10:05:04Z</dcterms:created>
  <dcterms:modified xsi:type="dcterms:W3CDTF">2025-12-22T17:55:54Z</dcterms:modified>
</cp:coreProperties>
</file>